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aiduSyncdisk\新建文件夹\学习\2025-2026\科研\LCTR\"/>
    </mc:Choice>
  </mc:AlternateContent>
  <xr:revisionPtr revIDLastSave="0" documentId="13_ncr:1_{63C4AD00-B1AE-41BB-B859-9295DCF0F78A}" xr6:coauthVersionLast="47" xr6:coauthVersionMax="47" xr10:uidLastSave="{00000000-0000-0000-0000-000000000000}"/>
  <bookViews>
    <workbookView xWindow="1886" yWindow="0" windowWidth="14914" windowHeight="11623" activeTab="3" xr2:uid="{00000000-000D-0000-FFFF-FFFF00000000}"/>
  </bookViews>
  <sheets>
    <sheet name="Sheet1" sheetId="1" r:id="rId1"/>
    <sheet name="R32" sheetId="5" r:id="rId2"/>
    <sheet name="R410A" sheetId="6" r:id="rId3"/>
    <sheet name="R290(Drop-in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5" i="1" l="1"/>
  <c r="B56" i="1"/>
  <c r="B57" i="1"/>
  <c r="B58" i="1"/>
  <c r="B54" i="1"/>
  <c r="D2" i="1"/>
  <c r="D3" i="1"/>
  <c r="M6" i="4"/>
  <c r="M5" i="4"/>
  <c r="M3" i="4"/>
  <c r="M7" i="4"/>
  <c r="M4" i="4"/>
  <c r="M6" i="5"/>
  <c r="M7" i="5"/>
  <c r="M4" i="5"/>
  <c r="M5" i="5"/>
  <c r="M3" i="5"/>
  <c r="D4" i="1"/>
</calcChain>
</file>

<file path=xl/sharedStrings.xml><?xml version="1.0" encoding="utf-8"?>
<sst xmlns="http://schemas.openxmlformats.org/spreadsheetml/2006/main" count="83" uniqueCount="48">
  <si>
    <t>'R32'</t>
  </si>
  <si>
    <t>'R410A'</t>
  </si>
  <si>
    <t>'R290'</t>
  </si>
  <si>
    <t>制冷剂</t>
    <phoneticPr fontId="1" type="noConversion"/>
  </si>
  <si>
    <t>SEER</t>
    <phoneticPr fontId="1" type="noConversion"/>
  </si>
  <si>
    <t>运行能耗(kWh)</t>
    <phoneticPr fontId="1" type="noConversion"/>
  </si>
  <si>
    <t>室外温度</t>
    <phoneticPr fontId="1" type="noConversion"/>
  </si>
  <si>
    <t>EER</t>
    <phoneticPr fontId="1" type="noConversion"/>
  </si>
  <si>
    <t>压缩机频率</t>
    <phoneticPr fontId="1" type="noConversion"/>
  </si>
  <si>
    <t>Pe</t>
    <phoneticPr fontId="1" type="noConversion"/>
  </si>
  <si>
    <t>Pc</t>
    <phoneticPr fontId="1" type="noConversion"/>
  </si>
  <si>
    <t>R410A</t>
    <phoneticPr fontId="1" type="noConversion"/>
  </si>
  <si>
    <t>R32</t>
    <phoneticPr fontId="1" type="noConversion"/>
  </si>
  <si>
    <t>总供冷量(kWh)</t>
    <phoneticPr fontId="1" type="noConversion"/>
  </si>
  <si>
    <t>充注量/kg</t>
    <phoneticPr fontId="1" type="noConversion"/>
  </si>
  <si>
    <t>充注量(kg)</t>
    <phoneticPr fontId="1" type="noConversion"/>
  </si>
  <si>
    <t>过冷度/K</t>
    <phoneticPr fontId="1" type="noConversion"/>
  </si>
  <si>
    <t>压缩机功率/W</t>
    <phoneticPr fontId="1" type="noConversion"/>
  </si>
  <si>
    <t>风机功率/W</t>
    <phoneticPr fontId="1" type="noConversion"/>
  </si>
  <si>
    <t>管径7mm</t>
    <phoneticPr fontId="1" type="noConversion"/>
  </si>
  <si>
    <t>PLF</t>
    <phoneticPr fontId="1" type="noConversion"/>
  </si>
  <si>
    <t>改小了容量，提高了能效</t>
    <phoneticPr fontId="1" type="noConversion"/>
  </si>
  <si>
    <t>目标负荷/W</t>
    <phoneticPr fontId="1" type="noConversion"/>
  </si>
  <si>
    <t>实际制冷功率/W</t>
    <phoneticPr fontId="1" type="noConversion"/>
  </si>
  <si>
    <t>电耗/W</t>
    <phoneticPr fontId="1" type="noConversion"/>
  </si>
  <si>
    <t>调整了低负荷时的风机能耗</t>
    <phoneticPr fontId="1" type="noConversion"/>
  </si>
  <si>
    <t>EER对比</t>
    <phoneticPr fontId="1" type="noConversion"/>
  </si>
  <si>
    <t>R290(Drop-in)</t>
    <phoneticPr fontId="1" type="noConversion"/>
  </si>
  <si>
    <t>加大了高频率时压缩机的惩罚</t>
    <phoneticPr fontId="1" type="noConversion"/>
  </si>
  <si>
    <t>R290</t>
    <phoneticPr fontId="1" type="noConversion"/>
  </si>
  <si>
    <t>频率对比</t>
    <phoneticPr fontId="1" type="noConversion"/>
  </si>
  <si>
    <t>上海</t>
    <phoneticPr fontId="1" type="noConversion"/>
  </si>
  <si>
    <t>时长(h)</t>
    <phoneticPr fontId="1" type="noConversion"/>
  </si>
  <si>
    <t>北京</t>
    <phoneticPr fontId="1" type="noConversion"/>
  </si>
  <si>
    <t>哈尔滨</t>
    <phoneticPr fontId="1" type="noConversion"/>
  </si>
  <si>
    <t>昆明</t>
    <phoneticPr fontId="1" type="noConversion"/>
  </si>
  <si>
    <t>广州</t>
    <phoneticPr fontId="1" type="noConversion"/>
  </si>
  <si>
    <t>City</t>
  </si>
  <si>
    <t>AEC (kWh)</t>
  </si>
  <si>
    <t>SEER</t>
  </si>
  <si>
    <t>HFC-32</t>
  </si>
  <si>
    <t>R410A</t>
  </si>
  <si>
    <t>HC-290</t>
  </si>
  <si>
    <t>Harbin</t>
  </si>
  <si>
    <t>Beijing</t>
  </si>
  <si>
    <t>Shanghai</t>
  </si>
  <si>
    <t>Kunming</t>
  </si>
  <si>
    <t>Guangzhou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</si>
</sst>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0" xfId="0" quotePrefix="1"/>
    <xf numFmtId="3" fontId="0" fillId="0" borderId="0" xfId="0" applyNumberFormat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EAB28"/>
      <color rgb="FFC75A28"/>
      <color rgb="FF0062A4"/>
      <color rgb="FF0771B0"/>
      <color rgb="FFC05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R32-EER</c:v>
          </c:tx>
          <c:spPr>
            <a:ln w="22225" cap="rnd">
              <a:solidFill>
                <a:schemeClr val="accent4">
                  <a:alpha val="99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6350">
                <a:solidFill>
                  <a:schemeClr val="accent4"/>
                </a:solidFill>
              </a:ln>
              <a:effectLst/>
            </c:spPr>
          </c:marker>
          <c:cat>
            <c:numRef>
              <c:f>Sheet1!$I$3:$I$20</c:f>
              <c:numCache>
                <c:formatCode>General</c:formatCode>
                <c:ptCount val="1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</c:numCache>
            </c:numRef>
          </c:cat>
          <c:val>
            <c:numRef>
              <c:f>Sheet1!$J$3:$J$20</c:f>
              <c:numCache>
                <c:formatCode>0.00_);[Red]\(0.00\)</c:formatCode>
                <c:ptCount val="18"/>
                <c:pt idx="0">
                  <c:v>11.590310176721401</c:v>
                </c:pt>
                <c:pt idx="1">
                  <c:v>10.9334068481266</c:v>
                </c:pt>
                <c:pt idx="2">
                  <c:v>10.5236627756176</c:v>
                </c:pt>
                <c:pt idx="3">
                  <c:v>10.1176288674007</c:v>
                </c:pt>
                <c:pt idx="4">
                  <c:v>9.8035243031926793</c:v>
                </c:pt>
                <c:pt idx="5">
                  <c:v>8.7593613687791105</c:v>
                </c:pt>
                <c:pt idx="6">
                  <c:v>7.3659701130919704</c:v>
                </c:pt>
                <c:pt idx="7">
                  <c:v>6.1385015684705602</c:v>
                </c:pt>
                <c:pt idx="8">
                  <c:v>5.5713893521170901</c:v>
                </c:pt>
                <c:pt idx="9">
                  <c:v>4.9217425861174604</c:v>
                </c:pt>
                <c:pt idx="10">
                  <c:v>4.4697135754711601</c:v>
                </c:pt>
                <c:pt idx="11">
                  <c:v>4.0283150046155498</c:v>
                </c:pt>
                <c:pt idx="12">
                  <c:v>3.7860629516392601</c:v>
                </c:pt>
                <c:pt idx="13">
                  <c:v>3.4291036806432098</c:v>
                </c:pt>
                <c:pt idx="14">
                  <c:v>3.1885209946493398</c:v>
                </c:pt>
                <c:pt idx="15">
                  <c:v>3.0034526458875499</c:v>
                </c:pt>
                <c:pt idx="16">
                  <c:v>2.7648832731225799</c:v>
                </c:pt>
                <c:pt idx="17">
                  <c:v>2.60613068032325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2-4085-A2D0-E7898D32D46A}"/>
            </c:ext>
          </c:extLst>
        </c:ser>
        <c:ser>
          <c:idx val="1"/>
          <c:order val="1"/>
          <c:tx>
            <c:v>R410A-EER</c:v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6350">
                <a:solidFill>
                  <a:schemeClr val="accent5"/>
                </a:solidFill>
              </a:ln>
              <a:effectLst/>
            </c:spPr>
          </c:marker>
          <c:cat>
            <c:numRef>
              <c:f>Sheet1!$I$3:$I$20</c:f>
              <c:numCache>
                <c:formatCode>General</c:formatCode>
                <c:ptCount val="1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</c:numCache>
            </c:numRef>
          </c:cat>
          <c:val>
            <c:numRef>
              <c:f>Sheet1!$K$3:$K$20</c:f>
              <c:numCache>
                <c:formatCode>0.00_);[Red]\(0.00\)</c:formatCode>
                <c:ptCount val="18"/>
                <c:pt idx="0">
                  <c:v>10.465246605134499</c:v>
                </c:pt>
                <c:pt idx="1">
                  <c:v>10.0012065370318</c:v>
                </c:pt>
                <c:pt idx="2">
                  <c:v>9.7123113077265106</c:v>
                </c:pt>
                <c:pt idx="3">
                  <c:v>9.4272403754774299</c:v>
                </c:pt>
                <c:pt idx="4">
                  <c:v>9.2109359581295305</c:v>
                </c:pt>
                <c:pt idx="5">
                  <c:v>7.9365176413003997</c:v>
                </c:pt>
                <c:pt idx="6">
                  <c:v>6.7249696333882998</c:v>
                </c:pt>
                <c:pt idx="7">
                  <c:v>5.9367311621905996</c:v>
                </c:pt>
                <c:pt idx="8">
                  <c:v>5.1498046618365398</c:v>
                </c:pt>
                <c:pt idx="9">
                  <c:v>4.6410906514980397</c:v>
                </c:pt>
                <c:pt idx="10">
                  <c:v>4.2536451095709902</c:v>
                </c:pt>
                <c:pt idx="11">
                  <c:v>3.78430351870142</c:v>
                </c:pt>
                <c:pt idx="12">
                  <c:v>3.5075526412692701</c:v>
                </c:pt>
                <c:pt idx="13">
                  <c:v>3.2685137551909702</c:v>
                </c:pt>
                <c:pt idx="14">
                  <c:v>3.0786882538534499</c:v>
                </c:pt>
                <c:pt idx="15">
                  <c:v>2.90856948948724</c:v>
                </c:pt>
                <c:pt idx="16">
                  <c:v>2.6427564459505999</c:v>
                </c:pt>
                <c:pt idx="17">
                  <c:v>2.4227788653352098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2-4085-A2D0-E7898D32D46A}"/>
            </c:ext>
          </c:extLst>
        </c:ser>
        <c:ser>
          <c:idx val="2"/>
          <c:order val="2"/>
          <c:tx>
            <c:v>R290-EER</c:v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>
                <a:solidFill>
                  <a:schemeClr val="accent6"/>
                </a:solidFill>
              </a:ln>
              <a:effectLst/>
            </c:spPr>
          </c:marker>
          <c:cat>
            <c:numRef>
              <c:f>Sheet1!$I$3:$I$20</c:f>
              <c:numCache>
                <c:formatCode>General</c:formatCode>
                <c:ptCount val="1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</c:numCache>
            </c:numRef>
          </c:cat>
          <c:val>
            <c:numRef>
              <c:f>Sheet1!$L$3:$L$20</c:f>
              <c:numCache>
                <c:formatCode>0.00_);[Red]\(0.00\)</c:formatCode>
                <c:ptCount val="18"/>
                <c:pt idx="0">
                  <c:v>16.182860312474698</c:v>
                </c:pt>
                <c:pt idx="1">
                  <c:v>13.1183467517706</c:v>
                </c:pt>
                <c:pt idx="2">
                  <c:v>12.8539534901878</c:v>
                </c:pt>
                <c:pt idx="3">
                  <c:v>11.9455655129372</c:v>
                </c:pt>
                <c:pt idx="4">
                  <c:v>10.6871553257585</c:v>
                </c:pt>
                <c:pt idx="5">
                  <c:v>8.6479446133446398</c:v>
                </c:pt>
                <c:pt idx="6">
                  <c:v>7.3046998825409997</c:v>
                </c:pt>
                <c:pt idx="7">
                  <c:v>6.1694929088603203</c:v>
                </c:pt>
                <c:pt idx="8">
                  <c:v>5.23591233611572</c:v>
                </c:pt>
                <c:pt idx="9">
                  <c:v>4.75954761435462</c:v>
                </c:pt>
                <c:pt idx="10">
                  <c:v>4.3220138299516204</c:v>
                </c:pt>
                <c:pt idx="11">
                  <c:v>4.1803926985697402</c:v>
                </c:pt>
                <c:pt idx="12">
                  <c:v>3.87762833986281</c:v>
                </c:pt>
                <c:pt idx="13">
                  <c:v>3.6278569411327202</c:v>
                </c:pt>
                <c:pt idx="14">
                  <c:v>3.0764619945177301</c:v>
                </c:pt>
                <c:pt idx="15">
                  <c:v>2.6418057086899198</c:v>
                </c:pt>
                <c:pt idx="16">
                  <c:v>1.81792200892018</c:v>
                </c:pt>
                <c:pt idx="17">
                  <c:v>1.48728274874386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E2-4085-A2D0-E7898D3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507439"/>
        <c:axId val="1686210175"/>
      </c:lineChart>
      <c:lineChart>
        <c:grouping val="standard"/>
        <c:varyColors val="0"/>
        <c:ser>
          <c:idx val="3"/>
          <c:order val="3"/>
          <c:tx>
            <c:v>R32-Frequency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Sheet1!$S$3:$S$20</c:f>
              <c:numCache>
                <c:formatCode>0.00_);[Red]\(0.00\)</c:formatCode>
                <c:ptCount val="1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16.732017932743499</c:v>
                </c:pt>
                <c:pt idx="6">
                  <c:v>20.6002718487882</c:v>
                </c:pt>
                <c:pt idx="7">
                  <c:v>25.3361185504038</c:v>
                </c:pt>
                <c:pt idx="8">
                  <c:v>29</c:v>
                </c:pt>
                <c:pt idx="9">
                  <c:v>34</c:v>
                </c:pt>
                <c:pt idx="10">
                  <c:v>39</c:v>
                </c:pt>
                <c:pt idx="11">
                  <c:v>45</c:v>
                </c:pt>
                <c:pt idx="12">
                  <c:v>50</c:v>
                </c:pt>
                <c:pt idx="13">
                  <c:v>57.635930786257298</c:v>
                </c:pt>
                <c:pt idx="14">
                  <c:v>65.953720172124903</c:v>
                </c:pt>
                <c:pt idx="15">
                  <c:v>74.602901574308603</c:v>
                </c:pt>
                <c:pt idx="16">
                  <c:v>86</c:v>
                </c:pt>
                <c:pt idx="17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E2-4085-A2D0-E7898D32D46A}"/>
            </c:ext>
          </c:extLst>
        </c:ser>
        <c:ser>
          <c:idx val="4"/>
          <c:order val="4"/>
          <c:tx>
            <c:v>R410A-Frequency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Sheet1!$T$3:$T$20</c:f>
              <c:numCache>
                <c:formatCode>0.00_);[Red]\(0.00\)</c:formatCode>
                <c:ptCount val="1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18.004471372172699</c:v>
                </c:pt>
                <c:pt idx="6">
                  <c:v>22.206630636856399</c:v>
                </c:pt>
                <c:pt idx="7">
                  <c:v>26</c:v>
                </c:pt>
                <c:pt idx="8">
                  <c:v>31.7183733921248</c:v>
                </c:pt>
                <c:pt idx="9">
                  <c:v>37</c:v>
                </c:pt>
                <c:pt idx="10">
                  <c:v>42.3201333180373</c:v>
                </c:pt>
                <c:pt idx="11">
                  <c:v>50.037392341735199</c:v>
                </c:pt>
                <c:pt idx="12">
                  <c:v>57</c:v>
                </c:pt>
                <c:pt idx="13">
                  <c:v>65.366412626509202</c:v>
                </c:pt>
                <c:pt idx="14">
                  <c:v>74.863249413216195</c:v>
                </c:pt>
                <c:pt idx="15">
                  <c:v>85.676635907680705</c:v>
                </c:pt>
                <c:pt idx="16">
                  <c:v>102.57489069974601</c:v>
                </c:pt>
                <c:pt idx="17">
                  <c:v>118.416672483734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E2-4085-A2D0-E7898D32D46A}"/>
            </c:ext>
          </c:extLst>
        </c:ser>
        <c:ser>
          <c:idx val="5"/>
          <c:order val="5"/>
          <c:tx>
            <c:v>R290-Frequency</c:v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Sheet1!$U$3:$U$20</c:f>
              <c:numCache>
                <c:formatCode>0.00_);[Red]\(0.00\)</c:formatCode>
                <c:ptCount val="1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18</c:v>
                </c:pt>
                <c:pt idx="4">
                  <c:v>24.656983673938299</c:v>
                </c:pt>
                <c:pt idx="5">
                  <c:v>30.7624104292351</c:v>
                </c:pt>
                <c:pt idx="6">
                  <c:v>37.321230063466999</c:v>
                </c:pt>
                <c:pt idx="7">
                  <c:v>45.5146250513206</c:v>
                </c:pt>
                <c:pt idx="8">
                  <c:v>55.109935004077698</c:v>
                </c:pt>
                <c:pt idx="9">
                  <c:v>64.266571527265498</c:v>
                </c:pt>
                <c:pt idx="10">
                  <c:v>77.6748055290753</c:v>
                </c:pt>
                <c:pt idx="11">
                  <c:v>85.539654580114103</c:v>
                </c:pt>
                <c:pt idx="12">
                  <c:v>101.68291913889399</c:v>
                </c:pt>
                <c:pt idx="13">
                  <c:v>118.648807012403</c:v>
                </c:pt>
                <c:pt idx="14">
                  <c:v>143.26472172141399</c:v>
                </c:pt>
                <c:pt idx="15">
                  <c:v>162</c:v>
                </c:pt>
                <c:pt idx="16">
                  <c:v>197.39239573102799</c:v>
                </c:pt>
                <c:pt idx="17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E2-4085-A2D0-E7898D3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006607"/>
        <c:axId val="1696571023"/>
      </c:lineChart>
      <c:catAx>
        <c:axId val="168450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Outdoor</a:t>
                </a:r>
                <a:r>
                  <a:rPr lang="en-US" altLang="zh-CN" baseline="0"/>
                  <a:t> Air Temperature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6210175"/>
        <c:crosses val="autoZero"/>
        <c:auto val="1"/>
        <c:lblAlgn val="ctr"/>
        <c:lblOffset val="100"/>
        <c:noMultiLvlLbl val="0"/>
      </c:catAx>
      <c:valAx>
        <c:axId val="168621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EER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4507439"/>
        <c:crosses val="autoZero"/>
        <c:crossBetween val="between"/>
      </c:valAx>
      <c:valAx>
        <c:axId val="1696571023"/>
        <c:scaling>
          <c:orientation val="minMax"/>
          <c:max val="2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Frequency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accent5">
                <a:alpha val="98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4006607"/>
        <c:crosses val="max"/>
        <c:crossBetween val="between"/>
      </c:valAx>
      <c:catAx>
        <c:axId val="1614006607"/>
        <c:scaling>
          <c:orientation val="minMax"/>
        </c:scaling>
        <c:delete val="1"/>
        <c:axPos val="b"/>
        <c:majorTickMark val="out"/>
        <c:minorTickMark val="none"/>
        <c:tickLblPos val="nextTo"/>
        <c:crossAx val="1696571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Shanghai(2680h)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Bin hours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Sheet1!$M$3:$M$20</c:f>
              <c:numCache>
                <c:formatCode>General</c:formatCode>
                <c:ptCount val="18"/>
                <c:pt idx="0">
                  <c:v>299</c:v>
                </c:pt>
                <c:pt idx="1">
                  <c:v>301</c:v>
                </c:pt>
                <c:pt idx="2">
                  <c:v>305</c:v>
                </c:pt>
                <c:pt idx="3">
                  <c:v>351</c:v>
                </c:pt>
                <c:pt idx="4">
                  <c:v>320</c:v>
                </c:pt>
                <c:pt idx="5">
                  <c:v>251</c:v>
                </c:pt>
                <c:pt idx="6">
                  <c:v>223</c:v>
                </c:pt>
                <c:pt idx="7">
                  <c:v>173</c:v>
                </c:pt>
                <c:pt idx="8">
                  <c:v>151</c:v>
                </c:pt>
                <c:pt idx="9">
                  <c:v>160</c:v>
                </c:pt>
                <c:pt idx="10">
                  <c:v>139</c:v>
                </c:pt>
                <c:pt idx="11">
                  <c:v>96</c:v>
                </c:pt>
                <c:pt idx="12">
                  <c:v>74</c:v>
                </c:pt>
                <c:pt idx="13">
                  <c:v>60</c:v>
                </c:pt>
                <c:pt idx="14">
                  <c:v>22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03-4094-99E7-5F8EDD7D4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6168672"/>
        <c:axId val="886169504"/>
      </c:barChart>
      <c:lineChart>
        <c:grouping val="standard"/>
        <c:varyColors val="0"/>
        <c:ser>
          <c:idx val="0"/>
          <c:order val="0"/>
          <c:tx>
            <c:v>EER-R32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Sheet1!$I$3:$I$20</c:f>
              <c:numCache>
                <c:formatCode>General</c:formatCode>
                <c:ptCount val="1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</c:numCache>
            </c:numRef>
          </c:cat>
          <c:val>
            <c:numRef>
              <c:f>Sheet1!$J$3:$J$20</c:f>
              <c:numCache>
                <c:formatCode>0.00_);[Red]\(0.00\)</c:formatCode>
                <c:ptCount val="18"/>
                <c:pt idx="0">
                  <c:v>11.590310176721401</c:v>
                </c:pt>
                <c:pt idx="1">
                  <c:v>10.9334068481266</c:v>
                </c:pt>
                <c:pt idx="2">
                  <c:v>10.5236627756176</c:v>
                </c:pt>
                <c:pt idx="3">
                  <c:v>10.1176288674007</c:v>
                </c:pt>
                <c:pt idx="4">
                  <c:v>9.8035243031926793</c:v>
                </c:pt>
                <c:pt idx="5">
                  <c:v>8.7593613687791105</c:v>
                </c:pt>
                <c:pt idx="6">
                  <c:v>7.3659701130919704</c:v>
                </c:pt>
                <c:pt idx="7">
                  <c:v>6.1385015684705602</c:v>
                </c:pt>
                <c:pt idx="8">
                  <c:v>5.5713893521170901</c:v>
                </c:pt>
                <c:pt idx="9">
                  <c:v>4.9217425861174604</c:v>
                </c:pt>
                <c:pt idx="10">
                  <c:v>4.4697135754711601</c:v>
                </c:pt>
                <c:pt idx="11">
                  <c:v>4.0283150046155498</c:v>
                </c:pt>
                <c:pt idx="12">
                  <c:v>3.7860629516392601</c:v>
                </c:pt>
                <c:pt idx="13">
                  <c:v>3.4291036806432098</c:v>
                </c:pt>
                <c:pt idx="14">
                  <c:v>3.1885209946493398</c:v>
                </c:pt>
                <c:pt idx="15">
                  <c:v>3.0034526458875499</c:v>
                </c:pt>
                <c:pt idx="16">
                  <c:v>2.7648832731225799</c:v>
                </c:pt>
                <c:pt idx="17">
                  <c:v>2.60613068032325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3-4094-99E7-5F8EDD7D4976}"/>
            </c:ext>
          </c:extLst>
        </c:ser>
        <c:ser>
          <c:idx val="1"/>
          <c:order val="1"/>
          <c:tx>
            <c:v>EER-R410A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Sheet1!$I$3:$I$20</c:f>
              <c:numCache>
                <c:formatCode>General</c:formatCode>
                <c:ptCount val="1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</c:numCache>
            </c:numRef>
          </c:cat>
          <c:val>
            <c:numRef>
              <c:f>Sheet1!$K$3:$K$20</c:f>
              <c:numCache>
                <c:formatCode>0.00_);[Red]\(0.00\)</c:formatCode>
                <c:ptCount val="18"/>
                <c:pt idx="0">
                  <c:v>10.465246605134499</c:v>
                </c:pt>
                <c:pt idx="1">
                  <c:v>10.0012065370318</c:v>
                </c:pt>
                <c:pt idx="2">
                  <c:v>9.7123113077265106</c:v>
                </c:pt>
                <c:pt idx="3">
                  <c:v>9.4272403754774299</c:v>
                </c:pt>
                <c:pt idx="4">
                  <c:v>9.2109359581295305</c:v>
                </c:pt>
                <c:pt idx="5">
                  <c:v>7.9365176413003997</c:v>
                </c:pt>
                <c:pt idx="6">
                  <c:v>6.7249696333882998</c:v>
                </c:pt>
                <c:pt idx="7">
                  <c:v>5.9367311621905996</c:v>
                </c:pt>
                <c:pt idx="8">
                  <c:v>5.1498046618365398</c:v>
                </c:pt>
                <c:pt idx="9">
                  <c:v>4.6410906514980397</c:v>
                </c:pt>
                <c:pt idx="10">
                  <c:v>4.2536451095709902</c:v>
                </c:pt>
                <c:pt idx="11">
                  <c:v>3.78430351870142</c:v>
                </c:pt>
                <c:pt idx="12">
                  <c:v>3.5075526412692701</c:v>
                </c:pt>
                <c:pt idx="13">
                  <c:v>3.2685137551909702</c:v>
                </c:pt>
                <c:pt idx="14">
                  <c:v>3.0786882538534499</c:v>
                </c:pt>
                <c:pt idx="15">
                  <c:v>2.90856948948724</c:v>
                </c:pt>
                <c:pt idx="16">
                  <c:v>2.6427564459505999</c:v>
                </c:pt>
                <c:pt idx="17">
                  <c:v>2.4227788653352098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3-4094-99E7-5F8EDD7D4976}"/>
            </c:ext>
          </c:extLst>
        </c:ser>
        <c:ser>
          <c:idx val="2"/>
          <c:order val="2"/>
          <c:tx>
            <c:v>EER-R290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Sheet1!$I$3:$I$20</c:f>
              <c:numCache>
                <c:formatCode>General</c:formatCode>
                <c:ptCount val="1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</c:numCache>
            </c:numRef>
          </c:cat>
          <c:val>
            <c:numRef>
              <c:f>Sheet1!$L$3:$L$20</c:f>
              <c:numCache>
                <c:formatCode>0.00_);[Red]\(0.00\)</c:formatCode>
                <c:ptCount val="18"/>
                <c:pt idx="0">
                  <c:v>16.182860312474698</c:v>
                </c:pt>
                <c:pt idx="1">
                  <c:v>13.1183467517706</c:v>
                </c:pt>
                <c:pt idx="2">
                  <c:v>12.8539534901878</c:v>
                </c:pt>
                <c:pt idx="3">
                  <c:v>11.9455655129372</c:v>
                </c:pt>
                <c:pt idx="4">
                  <c:v>10.6871553257585</c:v>
                </c:pt>
                <c:pt idx="5">
                  <c:v>8.6479446133446398</c:v>
                </c:pt>
                <c:pt idx="6">
                  <c:v>7.3046998825409997</c:v>
                </c:pt>
                <c:pt idx="7">
                  <c:v>6.1694929088603203</c:v>
                </c:pt>
                <c:pt idx="8">
                  <c:v>5.23591233611572</c:v>
                </c:pt>
                <c:pt idx="9">
                  <c:v>4.75954761435462</c:v>
                </c:pt>
                <c:pt idx="10">
                  <c:v>4.3220138299516204</c:v>
                </c:pt>
                <c:pt idx="11">
                  <c:v>4.1803926985697402</c:v>
                </c:pt>
                <c:pt idx="12">
                  <c:v>3.87762833986281</c:v>
                </c:pt>
                <c:pt idx="13">
                  <c:v>3.6278569411327202</c:v>
                </c:pt>
                <c:pt idx="14">
                  <c:v>3.0764619945177301</c:v>
                </c:pt>
                <c:pt idx="15">
                  <c:v>2.6418057086899198</c:v>
                </c:pt>
                <c:pt idx="16">
                  <c:v>1.81792200892018</c:v>
                </c:pt>
                <c:pt idx="17">
                  <c:v>1.48728274874386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03-4094-99E7-5F8EDD7D4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584480"/>
        <c:axId val="870585728"/>
      </c:lineChart>
      <c:catAx>
        <c:axId val="87058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Outdoor</a:t>
                </a:r>
                <a:r>
                  <a:rPr lang="en-US" altLang="zh-CN" baseline="0"/>
                  <a:t> Air Temperature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585728"/>
        <c:crosses val="autoZero"/>
        <c:auto val="1"/>
        <c:lblAlgn val="ctr"/>
        <c:lblOffset val="100"/>
        <c:noMultiLvlLbl val="0"/>
      </c:catAx>
      <c:valAx>
        <c:axId val="87058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EER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584480"/>
        <c:crosses val="autoZero"/>
        <c:crossBetween val="between"/>
      </c:valAx>
      <c:valAx>
        <c:axId val="8861695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Bin</a:t>
                </a:r>
                <a:r>
                  <a:rPr lang="en-US" altLang="zh-CN" baseline="0"/>
                  <a:t> hours(h)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86168672"/>
        <c:crosses val="max"/>
        <c:crossBetween val="between"/>
      </c:valAx>
      <c:catAx>
        <c:axId val="886168672"/>
        <c:scaling>
          <c:orientation val="minMax"/>
        </c:scaling>
        <c:delete val="1"/>
        <c:axPos val="b"/>
        <c:majorTickMark val="out"/>
        <c:minorTickMark val="none"/>
        <c:tickLblPos val="nextTo"/>
        <c:crossAx val="88616950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'R32'!$A$3:$A$16</c:f>
              <c:numCache>
                <c:formatCode>General</c:formatCode>
                <c:ptCount val="1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</c:numCache>
            </c:numRef>
          </c:cat>
          <c:val>
            <c:numRef>
              <c:f>'R32'!$E$3:$E$16</c:f>
              <c:numCache>
                <c:formatCode>0.00_);[Red]\(0.00\)</c:formatCode>
                <c:ptCount val="14"/>
                <c:pt idx="0">
                  <c:v>11.590310176721401</c:v>
                </c:pt>
                <c:pt idx="1">
                  <c:v>10.9334068481266</c:v>
                </c:pt>
                <c:pt idx="2">
                  <c:v>10.5236627756176</c:v>
                </c:pt>
                <c:pt idx="3">
                  <c:v>10.1176288674007</c:v>
                </c:pt>
                <c:pt idx="4">
                  <c:v>9.8035243031926793</c:v>
                </c:pt>
                <c:pt idx="5">
                  <c:v>8.7593613687791105</c:v>
                </c:pt>
                <c:pt idx="6">
                  <c:v>7.3659701130919704</c:v>
                </c:pt>
                <c:pt idx="7">
                  <c:v>6.1385015684705602</c:v>
                </c:pt>
                <c:pt idx="8">
                  <c:v>5.5713893521170901</c:v>
                </c:pt>
                <c:pt idx="9">
                  <c:v>4.9217425861174604</c:v>
                </c:pt>
                <c:pt idx="10">
                  <c:v>4.4697135754711601</c:v>
                </c:pt>
                <c:pt idx="11">
                  <c:v>4.0283150046155498</c:v>
                </c:pt>
                <c:pt idx="12">
                  <c:v>3.7860629516392601</c:v>
                </c:pt>
                <c:pt idx="13">
                  <c:v>3.4291036806432098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5-4AA7-A23C-6B8515BD5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116255"/>
        <c:axId val="1724112895"/>
      </c:lineChart>
      <c:catAx>
        <c:axId val="172411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4112895"/>
        <c:crosses val="autoZero"/>
        <c:auto val="1"/>
        <c:lblAlgn val="ctr"/>
        <c:lblOffset val="100"/>
        <c:noMultiLvlLbl val="0"/>
      </c:catAx>
      <c:valAx>
        <c:axId val="172411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411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R410A</a:t>
            </a:r>
            <a:r>
              <a:rPr lang="zh-CN" altLang="en-US"/>
              <a:t>不同温度下过冷度及</a:t>
            </a:r>
            <a:r>
              <a:rPr lang="en-US" altLang="zh-CN"/>
              <a:t>EER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'R410A'!$A$3:$A$16</c:f>
              <c:numCache>
                <c:formatCode>General</c:formatCode>
                <c:ptCount val="1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</c:numCache>
            </c:numRef>
          </c:cat>
          <c:val>
            <c:numRef>
              <c:f>'R410A'!$E$3:$E$16</c:f>
              <c:numCache>
                <c:formatCode>0.00_);[Red]\(0.00\)</c:formatCode>
                <c:ptCount val="14"/>
                <c:pt idx="0">
                  <c:v>10.465246605134499</c:v>
                </c:pt>
                <c:pt idx="1">
                  <c:v>10.0012065370318</c:v>
                </c:pt>
                <c:pt idx="2">
                  <c:v>9.7123113077265106</c:v>
                </c:pt>
                <c:pt idx="3">
                  <c:v>9.4272403754774299</c:v>
                </c:pt>
                <c:pt idx="4">
                  <c:v>9.2109359581295305</c:v>
                </c:pt>
                <c:pt idx="5">
                  <c:v>7.9365176413003997</c:v>
                </c:pt>
                <c:pt idx="6">
                  <c:v>6.7249696333882998</c:v>
                </c:pt>
                <c:pt idx="7">
                  <c:v>5.9367311621905996</c:v>
                </c:pt>
                <c:pt idx="8">
                  <c:v>5.1498046618365398</c:v>
                </c:pt>
                <c:pt idx="9">
                  <c:v>4.6410906514980397</c:v>
                </c:pt>
                <c:pt idx="10">
                  <c:v>4.2536451095709902</c:v>
                </c:pt>
                <c:pt idx="11">
                  <c:v>3.78430351870142</c:v>
                </c:pt>
                <c:pt idx="12">
                  <c:v>3.5075526412692701</c:v>
                </c:pt>
                <c:pt idx="13">
                  <c:v>3.2685137551909702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C-40E5-8B0A-6FE0669CE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845536"/>
        <c:axId val="1951833056"/>
      </c:lineChart>
      <c:lineChart>
        <c:grouping val="standard"/>
        <c:varyColors val="0"/>
        <c:ser>
          <c:idx val="1"/>
          <c:order val="1"/>
          <c:tx>
            <c:v>过冷度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'R410A'!$J$3:$J$16</c:f>
              <c:numCache>
                <c:formatCode>0.00_);[Red]\(0.00\)</c:formatCode>
                <c:ptCount val="14"/>
                <c:pt idx="0">
                  <c:v>0.15625</c:v>
                </c:pt>
                <c:pt idx="1">
                  <c:v>7.8125E-2</c:v>
                </c:pt>
                <c:pt idx="2">
                  <c:v>7.8125E-2</c:v>
                </c:pt>
                <c:pt idx="3">
                  <c:v>7.8125E-2</c:v>
                </c:pt>
                <c:pt idx="4">
                  <c:v>0.15625</c:v>
                </c:pt>
                <c:pt idx="5">
                  <c:v>0.625</c:v>
                </c:pt>
                <c:pt idx="6">
                  <c:v>1.25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6.0095352106770399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C-40E5-8B0A-6FE0669CE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853216"/>
        <c:axId val="1951849856"/>
      </c:lineChart>
      <c:catAx>
        <c:axId val="195184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833056"/>
        <c:crosses val="autoZero"/>
        <c:auto val="1"/>
        <c:lblAlgn val="ctr"/>
        <c:lblOffset val="100"/>
        <c:noMultiLvlLbl val="0"/>
      </c:catAx>
      <c:valAx>
        <c:axId val="195183305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845536"/>
        <c:crosses val="autoZero"/>
        <c:crossBetween val="between"/>
      </c:valAx>
      <c:valAx>
        <c:axId val="1951849856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1853216"/>
        <c:crosses val="max"/>
        <c:crossBetween val="between"/>
      </c:valAx>
      <c:catAx>
        <c:axId val="1951853216"/>
        <c:scaling>
          <c:orientation val="minMax"/>
        </c:scaling>
        <c:delete val="1"/>
        <c:axPos val="b"/>
        <c:majorTickMark val="out"/>
        <c:minorTickMark val="none"/>
        <c:tickLblPos val="nextTo"/>
        <c:crossAx val="1951849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'R290(Drop-in)'!$E$3:$E$20</c:f>
              <c:numCache>
                <c:formatCode>0.00_);[Red]\(0.00\)</c:formatCode>
                <c:ptCount val="18"/>
                <c:pt idx="0">
                  <c:v>16.182860312474698</c:v>
                </c:pt>
                <c:pt idx="1">
                  <c:v>13.1183467517706</c:v>
                </c:pt>
                <c:pt idx="2">
                  <c:v>12.8539534901878</c:v>
                </c:pt>
                <c:pt idx="3">
                  <c:v>11.9455655129372</c:v>
                </c:pt>
                <c:pt idx="4">
                  <c:v>10.6871553257585</c:v>
                </c:pt>
                <c:pt idx="5">
                  <c:v>8.6479446133446398</c:v>
                </c:pt>
                <c:pt idx="6">
                  <c:v>7.3046998825409997</c:v>
                </c:pt>
                <c:pt idx="7">
                  <c:v>6.1694929088603203</c:v>
                </c:pt>
                <c:pt idx="8">
                  <c:v>5.23591233611572</c:v>
                </c:pt>
                <c:pt idx="9">
                  <c:v>4.75954761435462</c:v>
                </c:pt>
                <c:pt idx="10">
                  <c:v>4.3220138299516204</c:v>
                </c:pt>
                <c:pt idx="11">
                  <c:v>4.1803926985697402</c:v>
                </c:pt>
                <c:pt idx="12">
                  <c:v>3.87762833986281</c:v>
                </c:pt>
                <c:pt idx="13">
                  <c:v>3.6278569411327202</c:v>
                </c:pt>
                <c:pt idx="14">
                  <c:v>3.0764619945177301</c:v>
                </c:pt>
                <c:pt idx="15">
                  <c:v>2.6418057086899198</c:v>
                </c:pt>
                <c:pt idx="16">
                  <c:v>1.81792200892018</c:v>
                </c:pt>
                <c:pt idx="17">
                  <c:v>1.48728274874386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C-4358-91E7-00D039795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161152"/>
        <c:axId val="971586080"/>
      </c:scatterChart>
      <c:valAx>
        <c:axId val="76916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1586080"/>
        <c:crosses val="autoZero"/>
        <c:crossBetween val="midCat"/>
      </c:valAx>
      <c:valAx>
        <c:axId val="97158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916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481852</xdr:colOff>
      <xdr:row>22</xdr:row>
      <xdr:rowOff>66434</xdr:rowOff>
    </xdr:from>
    <xdr:to>
      <xdr:col>18</xdr:col>
      <xdr:colOff>70437</xdr:colOff>
      <xdr:row>45</xdr:row>
      <xdr:rowOff>64034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888FF04-6AEA-4F76-9731-1ED37D75C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544285</xdr:colOff>
      <xdr:row>46</xdr:row>
      <xdr:rowOff>94770</xdr:rowOff>
    </xdr:from>
    <xdr:to>
      <xdr:col>18</xdr:col>
      <xdr:colOff>39583</xdr:colOff>
      <xdr:row>68</xdr:row>
      <xdr:rowOff>158338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48D5E07-C262-434C-A4EA-BCA4AC325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108857</xdr:colOff>
      <xdr:row>6</xdr:row>
      <xdr:rowOff>32657</xdr:rowOff>
    </xdr:from>
    <xdr:to>
      <xdr:col>19</xdr:col>
      <xdr:colOff>500742</xdr:colOff>
      <xdr:row>21</xdr:row>
      <xdr:rowOff>81643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0088011-8B68-0BED-EF45-CC7964F24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246629</xdr:colOff>
      <xdr:row>3</xdr:row>
      <xdr:rowOff>150018</xdr:rowOff>
    </xdr:from>
    <xdr:to>
      <xdr:col>19</xdr:col>
      <xdr:colOff>284729</xdr:colOff>
      <xdr:row>19</xdr:row>
      <xdr:rowOff>70416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0282A4-2EB7-04CA-6A6D-378D78B69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422210</xdr:colOff>
      <xdr:row>6</xdr:row>
      <xdr:rowOff>115466</xdr:rowOff>
    </xdr:from>
    <xdr:to>
      <xdr:col>24</xdr:col>
      <xdr:colOff>117410</xdr:colOff>
      <xdr:row>21</xdr:row>
      <xdr:rowOff>164453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53CCFAA-7EEF-4C0D-8873-5C7AEA099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opLeftCell="A40" zoomScale="85" zoomScaleNormal="85" workbookViewId="0">
      <selection activeCell="C58" sqref="C58"/>
    </sheetView>
  </sheetViews>
  <sheetFormatPr defaultRowHeight="14.15" x14ac:dyDescent="0.35"/>
  <cols>
    <col min="1" max="1" width="24.28515625" bestFit="1" customWidth="1"/>
    <col min="3" max="3" width="11.5703125" bestFit="1" customWidth="1"/>
    <col min="4" max="4" width="13.5" bestFit="1" customWidth="1"/>
    <col min="5" max="5" width="15.92578125" bestFit="1" customWidth="1"/>
    <col min="12" max="12" width="9.35546875" customWidth="1"/>
    <col min="13" max="13" width="12.0703125" bestFit="1" customWidth="1"/>
    <col min="18" max="18" width="11.28515625" bestFit="1" customWidth="1"/>
  </cols>
  <sheetData>
    <row r="1" spans="1:21" x14ac:dyDescent="0.35">
      <c r="A1" t="s">
        <v>3</v>
      </c>
      <c r="B1" t="s">
        <v>4</v>
      </c>
      <c r="C1" t="s">
        <v>13</v>
      </c>
      <c r="D1" t="s">
        <v>5</v>
      </c>
      <c r="E1" t="s">
        <v>15</v>
      </c>
      <c r="I1" t="s">
        <v>26</v>
      </c>
      <c r="M1" t="s">
        <v>32</v>
      </c>
      <c r="S1" t="s">
        <v>30</v>
      </c>
    </row>
    <row r="2" spans="1:21" x14ac:dyDescent="0.35">
      <c r="A2" t="s">
        <v>0</v>
      </c>
      <c r="B2">
        <v>6.8360000000000003</v>
      </c>
      <c r="C2" s="1">
        <v>2703.2</v>
      </c>
      <c r="D2" s="3">
        <f>C2/B2</f>
        <v>395.43592744294904</v>
      </c>
      <c r="E2">
        <v>0.69599999999999995</v>
      </c>
      <c r="I2" t="s">
        <v>6</v>
      </c>
      <c r="J2" t="s">
        <v>12</v>
      </c>
      <c r="K2" t="s">
        <v>11</v>
      </c>
      <c r="L2" t="s">
        <v>29</v>
      </c>
      <c r="M2" t="s">
        <v>31</v>
      </c>
      <c r="N2" t="s">
        <v>33</v>
      </c>
      <c r="O2" t="s">
        <v>34</v>
      </c>
      <c r="P2" t="s">
        <v>35</v>
      </c>
      <c r="Q2" t="s">
        <v>36</v>
      </c>
      <c r="R2" t="s">
        <v>22</v>
      </c>
      <c r="S2" t="s">
        <v>12</v>
      </c>
      <c r="T2" t="s">
        <v>11</v>
      </c>
      <c r="U2" t="s">
        <v>29</v>
      </c>
    </row>
    <row r="3" spans="1:21" x14ac:dyDescent="0.35">
      <c r="A3" t="s">
        <v>1</v>
      </c>
      <c r="B3">
        <v>6.3949999999999996</v>
      </c>
      <c r="C3" s="1">
        <v>2703.2</v>
      </c>
      <c r="D3" s="3">
        <f>C3/B3</f>
        <v>422.70523846755276</v>
      </c>
      <c r="E3">
        <v>0.76200000000000001</v>
      </c>
      <c r="I3">
        <v>24</v>
      </c>
      <c r="J3" s="2">
        <v>11.590310176721401</v>
      </c>
      <c r="K3" s="2">
        <v>10.465246605134499</v>
      </c>
      <c r="L3" s="2">
        <v>16.182860312474698</v>
      </c>
      <c r="M3">
        <v>299</v>
      </c>
      <c r="N3">
        <v>304</v>
      </c>
      <c r="O3">
        <v>155</v>
      </c>
      <c r="P3">
        <v>335</v>
      </c>
      <c r="Q3">
        <v>329</v>
      </c>
      <c r="R3" s="2">
        <v>291.666666666666</v>
      </c>
      <c r="S3" s="2">
        <v>15</v>
      </c>
      <c r="T3" s="2">
        <v>15</v>
      </c>
      <c r="U3" s="2">
        <v>15</v>
      </c>
    </row>
    <row r="4" spans="1:21" x14ac:dyDescent="0.35">
      <c r="A4" t="s">
        <v>2</v>
      </c>
      <c r="B4" s="5">
        <v>6.9909999999999997</v>
      </c>
      <c r="C4" s="1">
        <v>2703.2</v>
      </c>
      <c r="D4" s="3">
        <f t="shared" ref="D4" si="0">C4/B4</f>
        <v>386.66857388070378</v>
      </c>
      <c r="E4">
        <v>0.36699999999999999</v>
      </c>
      <c r="I4">
        <v>25</v>
      </c>
      <c r="J4" s="2">
        <v>10.9334068481266</v>
      </c>
      <c r="K4" s="2">
        <v>10.0012065370318</v>
      </c>
      <c r="L4" s="2">
        <v>13.1183467517706</v>
      </c>
      <c r="M4">
        <v>301</v>
      </c>
      <c r="N4">
        <v>285</v>
      </c>
      <c r="O4">
        <v>147</v>
      </c>
      <c r="P4">
        <v>345</v>
      </c>
      <c r="Q4">
        <v>340</v>
      </c>
      <c r="R4" s="2">
        <v>583.33333333333303</v>
      </c>
      <c r="S4" s="2">
        <v>15</v>
      </c>
      <c r="T4" s="2">
        <v>15</v>
      </c>
      <c r="U4" s="2">
        <v>15</v>
      </c>
    </row>
    <row r="5" spans="1:21" x14ac:dyDescent="0.35">
      <c r="A5" s="4"/>
      <c r="C5" s="1"/>
      <c r="D5" s="3"/>
      <c r="I5">
        <v>26</v>
      </c>
      <c r="J5" s="2">
        <v>10.5236627756176</v>
      </c>
      <c r="K5" s="2">
        <v>9.7123113077265106</v>
      </c>
      <c r="L5" s="2">
        <v>12.8539534901878</v>
      </c>
      <c r="M5">
        <v>305</v>
      </c>
      <c r="N5">
        <v>239</v>
      </c>
      <c r="O5">
        <v>120</v>
      </c>
      <c r="P5">
        <v>309</v>
      </c>
      <c r="Q5">
        <v>553</v>
      </c>
      <c r="R5" s="2">
        <v>875</v>
      </c>
      <c r="S5" s="2">
        <v>15</v>
      </c>
      <c r="T5" s="2">
        <v>15</v>
      </c>
      <c r="U5" s="2">
        <v>15</v>
      </c>
    </row>
    <row r="6" spans="1:21" x14ac:dyDescent="0.35">
      <c r="I6">
        <v>27</v>
      </c>
      <c r="J6" s="2">
        <v>10.1176288674007</v>
      </c>
      <c r="K6" s="2">
        <v>9.4272403754774299</v>
      </c>
      <c r="L6" s="2">
        <v>11.9455655129372</v>
      </c>
      <c r="M6">
        <v>351</v>
      </c>
      <c r="N6">
        <v>220</v>
      </c>
      <c r="O6">
        <v>108</v>
      </c>
      <c r="P6">
        <v>261</v>
      </c>
      <c r="Q6">
        <v>612</v>
      </c>
      <c r="R6" s="2">
        <v>1166.6666666666599</v>
      </c>
      <c r="S6" s="2">
        <v>15</v>
      </c>
      <c r="T6" s="2">
        <v>15</v>
      </c>
      <c r="U6" s="2">
        <v>18</v>
      </c>
    </row>
    <row r="7" spans="1:21" x14ac:dyDescent="0.35">
      <c r="I7">
        <v>28</v>
      </c>
      <c r="J7" s="2">
        <v>9.8035243031926793</v>
      </c>
      <c r="K7" s="2">
        <v>9.2109359581295305</v>
      </c>
      <c r="L7" s="2">
        <v>10.6871553257585</v>
      </c>
      <c r="M7">
        <v>320</v>
      </c>
      <c r="N7">
        <v>200</v>
      </c>
      <c r="O7">
        <v>103</v>
      </c>
      <c r="P7">
        <v>213</v>
      </c>
      <c r="Q7">
        <v>452</v>
      </c>
      <c r="R7" s="2">
        <v>1458.3333333333301</v>
      </c>
      <c r="S7" s="2">
        <v>15</v>
      </c>
      <c r="T7" s="2">
        <v>15</v>
      </c>
      <c r="U7" s="2">
        <v>24.656983673938299</v>
      </c>
    </row>
    <row r="8" spans="1:21" x14ac:dyDescent="0.35">
      <c r="A8" t="s">
        <v>19</v>
      </c>
      <c r="I8">
        <v>29</v>
      </c>
      <c r="J8" s="2">
        <v>8.7593613687791105</v>
      </c>
      <c r="K8" s="2">
        <v>7.9365176413003997</v>
      </c>
      <c r="L8" s="2">
        <v>8.6479446133446398</v>
      </c>
      <c r="M8">
        <v>251</v>
      </c>
      <c r="N8">
        <v>215</v>
      </c>
      <c r="O8">
        <v>47</v>
      </c>
      <c r="P8">
        <v>106</v>
      </c>
      <c r="Q8">
        <v>442</v>
      </c>
      <c r="R8" s="2">
        <v>1750</v>
      </c>
      <c r="S8" s="2">
        <v>16.732017932743499</v>
      </c>
      <c r="T8" s="2">
        <v>18.004471372172699</v>
      </c>
      <c r="U8" s="2">
        <v>30.7624104292351</v>
      </c>
    </row>
    <row r="9" spans="1:21" x14ac:dyDescent="0.35">
      <c r="A9" t="s">
        <v>21</v>
      </c>
      <c r="I9">
        <v>30</v>
      </c>
      <c r="J9" s="2">
        <v>7.3659701130919704</v>
      </c>
      <c r="K9" s="2">
        <v>6.7249696333882998</v>
      </c>
      <c r="L9" s="2">
        <v>7.3046998825409997</v>
      </c>
      <c r="M9">
        <v>223</v>
      </c>
      <c r="N9">
        <v>193</v>
      </c>
      <c r="O9">
        <v>42</v>
      </c>
      <c r="P9">
        <v>57</v>
      </c>
      <c r="Q9">
        <v>388</v>
      </c>
      <c r="R9" s="2">
        <v>2041.6666666666599</v>
      </c>
      <c r="S9" s="2">
        <v>20.6002718487882</v>
      </c>
      <c r="T9" s="2">
        <v>22.206630636856399</v>
      </c>
      <c r="U9" s="2">
        <v>37.321230063466999</v>
      </c>
    </row>
    <row r="10" spans="1:21" x14ac:dyDescent="0.35">
      <c r="A10" t="s">
        <v>25</v>
      </c>
      <c r="B10" s="2"/>
      <c r="C10" s="2"/>
      <c r="D10" s="2"/>
      <c r="E10" s="2"/>
      <c r="I10">
        <v>31</v>
      </c>
      <c r="J10" s="2">
        <v>6.1385015684705602</v>
      </c>
      <c r="K10" s="2">
        <v>5.9367311621905996</v>
      </c>
      <c r="L10" s="2">
        <v>6.1694929088603203</v>
      </c>
      <c r="M10">
        <v>173</v>
      </c>
      <c r="N10">
        <v>162</v>
      </c>
      <c r="O10">
        <v>21</v>
      </c>
      <c r="P10">
        <v>14</v>
      </c>
      <c r="Q10">
        <v>351</v>
      </c>
      <c r="R10" s="2">
        <v>2333.3333333333298</v>
      </c>
      <c r="S10" s="2">
        <v>25.3361185504038</v>
      </c>
      <c r="T10" s="2">
        <v>26</v>
      </c>
      <c r="U10" s="2">
        <v>45.5146250513206</v>
      </c>
    </row>
    <row r="11" spans="1:21" x14ac:dyDescent="0.35">
      <c r="A11" t="s">
        <v>28</v>
      </c>
      <c r="B11" s="2"/>
      <c r="C11" s="2"/>
      <c r="D11" s="2"/>
      <c r="E11" s="2"/>
      <c r="I11">
        <v>32</v>
      </c>
      <c r="J11" s="2">
        <v>5.5713893521170901</v>
      </c>
      <c r="K11" s="2">
        <v>5.1498046618365398</v>
      </c>
      <c r="L11" s="2">
        <v>5.23591233611572</v>
      </c>
      <c r="M11">
        <v>151</v>
      </c>
      <c r="N11">
        <v>129</v>
      </c>
      <c r="O11">
        <v>11</v>
      </c>
      <c r="P11">
        <v>0</v>
      </c>
      <c r="Q11">
        <v>366</v>
      </c>
      <c r="R11" s="2">
        <v>2625</v>
      </c>
      <c r="S11" s="2">
        <v>29</v>
      </c>
      <c r="T11" s="2">
        <v>31.7183733921248</v>
      </c>
      <c r="U11" s="2">
        <v>55.109935004077698</v>
      </c>
    </row>
    <row r="12" spans="1:21" x14ac:dyDescent="0.35">
      <c r="B12" s="2"/>
      <c r="C12" s="2"/>
      <c r="D12" s="2"/>
      <c r="E12" s="2"/>
      <c r="I12">
        <v>33</v>
      </c>
      <c r="J12" s="2">
        <v>4.9217425861174604</v>
      </c>
      <c r="K12" s="2">
        <v>4.6410906514980397</v>
      </c>
      <c r="L12" s="2">
        <v>4.75954761435462</v>
      </c>
      <c r="M12">
        <v>160</v>
      </c>
      <c r="N12">
        <v>84</v>
      </c>
      <c r="O12">
        <v>5</v>
      </c>
      <c r="P12">
        <v>0</v>
      </c>
      <c r="Q12">
        <v>354</v>
      </c>
      <c r="R12" s="2">
        <v>2916.6666666666601</v>
      </c>
      <c r="S12" s="2">
        <v>34</v>
      </c>
      <c r="T12" s="2">
        <v>37</v>
      </c>
      <c r="U12" s="2">
        <v>64.266571527265498</v>
      </c>
    </row>
    <row r="13" spans="1:21" x14ac:dyDescent="0.35">
      <c r="B13" s="2"/>
      <c r="C13" s="2"/>
      <c r="D13" s="2"/>
      <c r="E13" s="2"/>
      <c r="I13">
        <v>34</v>
      </c>
      <c r="J13" s="2">
        <v>4.4697135754711601</v>
      </c>
      <c r="K13" s="2">
        <v>4.2536451095709902</v>
      </c>
      <c r="L13" s="2">
        <v>4.3220138299516204</v>
      </c>
      <c r="M13">
        <v>139</v>
      </c>
      <c r="N13">
        <v>33</v>
      </c>
      <c r="O13">
        <v>0</v>
      </c>
      <c r="P13">
        <v>0</v>
      </c>
      <c r="Q13">
        <v>282</v>
      </c>
      <c r="R13" s="2">
        <v>3208.3333333333298</v>
      </c>
      <c r="S13" s="2">
        <v>39</v>
      </c>
      <c r="T13" s="2">
        <v>42.3201333180373</v>
      </c>
      <c r="U13" s="2">
        <v>77.6748055290753</v>
      </c>
    </row>
    <row r="14" spans="1:21" x14ac:dyDescent="0.35">
      <c r="B14" s="2"/>
      <c r="C14" s="2"/>
      <c r="D14" s="2"/>
      <c r="E14" s="2"/>
      <c r="I14">
        <v>35</v>
      </c>
      <c r="J14" s="2">
        <v>4.0283150046155498</v>
      </c>
      <c r="K14" s="2">
        <v>3.78430351870142</v>
      </c>
      <c r="L14" s="2">
        <v>4.1803926985697402</v>
      </c>
      <c r="M14">
        <v>96</v>
      </c>
      <c r="N14">
        <v>15</v>
      </c>
      <c r="O14">
        <v>0</v>
      </c>
      <c r="P14">
        <v>0</v>
      </c>
      <c r="Q14">
        <v>166</v>
      </c>
      <c r="R14" s="2">
        <v>3500</v>
      </c>
      <c r="S14" s="2">
        <v>45</v>
      </c>
      <c r="T14" s="2">
        <v>50.037392341735199</v>
      </c>
      <c r="U14" s="2">
        <v>85.539654580114103</v>
      </c>
    </row>
    <row r="15" spans="1:21" x14ac:dyDescent="0.35">
      <c r="B15" s="2"/>
      <c r="I15">
        <v>36</v>
      </c>
      <c r="J15" s="2">
        <v>3.7860629516392601</v>
      </c>
      <c r="K15" s="2">
        <v>3.5075526412692701</v>
      </c>
      <c r="L15" s="2">
        <v>3.87762833986281</v>
      </c>
      <c r="M15">
        <v>74</v>
      </c>
      <c r="N15">
        <v>13</v>
      </c>
      <c r="O15">
        <v>0</v>
      </c>
      <c r="P15">
        <v>0</v>
      </c>
      <c r="Q15">
        <v>43</v>
      </c>
      <c r="R15" s="2">
        <v>3791.6666666666601</v>
      </c>
      <c r="S15" s="2">
        <v>50</v>
      </c>
      <c r="T15" s="2">
        <v>57</v>
      </c>
      <c r="U15" s="2">
        <v>101.68291913889399</v>
      </c>
    </row>
    <row r="16" spans="1:21" x14ac:dyDescent="0.35">
      <c r="B16" s="2"/>
      <c r="I16">
        <v>37</v>
      </c>
      <c r="J16" s="2">
        <v>3.4291036806432098</v>
      </c>
      <c r="K16" s="2">
        <v>3.2685137551909702</v>
      </c>
      <c r="L16" s="2">
        <v>3.6278569411327202</v>
      </c>
      <c r="M16">
        <v>60</v>
      </c>
      <c r="N16">
        <v>0</v>
      </c>
      <c r="O16">
        <v>0</v>
      </c>
      <c r="P16">
        <v>0</v>
      </c>
      <c r="Q16">
        <v>3</v>
      </c>
      <c r="R16" s="2">
        <v>4083.3333333333298</v>
      </c>
      <c r="S16" s="2">
        <v>57.635930786257298</v>
      </c>
      <c r="T16" s="2">
        <v>65.366412626509202</v>
      </c>
      <c r="U16" s="2">
        <v>118.648807012403</v>
      </c>
    </row>
    <row r="17" spans="2:21" x14ac:dyDescent="0.35">
      <c r="B17" s="2"/>
      <c r="D17" s="2"/>
      <c r="E17" s="2"/>
      <c r="F17" s="2"/>
      <c r="I17">
        <v>38</v>
      </c>
      <c r="J17" s="2">
        <v>3.1885209946493398</v>
      </c>
      <c r="K17" s="2">
        <v>3.0786882538534499</v>
      </c>
      <c r="L17" s="2">
        <v>3.0764619945177301</v>
      </c>
      <c r="M17">
        <v>22</v>
      </c>
      <c r="N17">
        <v>0</v>
      </c>
      <c r="O17">
        <v>0</v>
      </c>
      <c r="P17">
        <v>0</v>
      </c>
      <c r="Q17">
        <v>0</v>
      </c>
      <c r="R17" s="2">
        <v>4375</v>
      </c>
      <c r="S17" s="2">
        <v>65.953720172124903</v>
      </c>
      <c r="T17" s="2">
        <v>74.863249413216195</v>
      </c>
      <c r="U17" s="2">
        <v>143.26472172141399</v>
      </c>
    </row>
    <row r="18" spans="2:21" x14ac:dyDescent="0.35">
      <c r="B18" s="2"/>
      <c r="D18" s="2"/>
      <c r="E18" s="2"/>
      <c r="F18" s="2"/>
      <c r="I18">
        <v>39</v>
      </c>
      <c r="J18" s="2">
        <v>3.0034526458875499</v>
      </c>
      <c r="K18" s="2">
        <v>2.90856948948724</v>
      </c>
      <c r="L18" s="2">
        <v>2.6418057086899198</v>
      </c>
      <c r="M18">
        <v>17</v>
      </c>
      <c r="N18">
        <v>0</v>
      </c>
      <c r="O18">
        <v>0</v>
      </c>
      <c r="P18">
        <v>0</v>
      </c>
      <c r="Q18">
        <v>0</v>
      </c>
      <c r="R18" s="2">
        <v>4666.6666666666597</v>
      </c>
      <c r="S18" s="2">
        <v>74.602901574308603</v>
      </c>
      <c r="T18" s="2">
        <v>85.676635907680705</v>
      </c>
      <c r="U18" s="2">
        <v>162</v>
      </c>
    </row>
    <row r="19" spans="2:21" x14ac:dyDescent="0.35">
      <c r="B19" s="2"/>
      <c r="D19" s="2"/>
      <c r="E19" s="2"/>
      <c r="F19" s="2"/>
      <c r="I19">
        <v>40</v>
      </c>
      <c r="J19" s="2">
        <v>2.7648832731225799</v>
      </c>
      <c r="K19" s="2">
        <v>2.6427564459505999</v>
      </c>
      <c r="L19" s="2">
        <v>1.81792200892018</v>
      </c>
      <c r="M19">
        <v>0</v>
      </c>
      <c r="N19">
        <v>0</v>
      </c>
      <c r="O19">
        <v>0</v>
      </c>
      <c r="P19">
        <v>0</v>
      </c>
      <c r="Q19">
        <v>0</v>
      </c>
      <c r="R19" s="2">
        <v>4958.3333333333303</v>
      </c>
      <c r="S19" s="2">
        <v>86</v>
      </c>
      <c r="T19" s="2">
        <v>102.57489069974601</v>
      </c>
      <c r="U19" s="2">
        <v>197.39239573102799</v>
      </c>
    </row>
    <row r="20" spans="2:21" x14ac:dyDescent="0.35">
      <c r="B20" s="2"/>
      <c r="D20" s="2"/>
      <c r="E20" s="2"/>
      <c r="F20" s="2"/>
      <c r="I20">
        <v>41</v>
      </c>
      <c r="J20" s="2">
        <v>2.60613068032325</v>
      </c>
      <c r="K20" s="2">
        <v>2.4227788653352098</v>
      </c>
      <c r="L20" s="2">
        <v>1.48728274874386</v>
      </c>
      <c r="M20">
        <v>0</v>
      </c>
      <c r="N20">
        <v>0</v>
      </c>
      <c r="O20">
        <v>0</v>
      </c>
      <c r="P20">
        <v>0</v>
      </c>
      <c r="Q20">
        <v>0</v>
      </c>
      <c r="R20" s="2">
        <v>5250</v>
      </c>
      <c r="S20" s="2">
        <v>97</v>
      </c>
      <c r="T20" s="2">
        <v>118.416672483734</v>
      </c>
      <c r="U20" s="2">
        <v>210</v>
      </c>
    </row>
    <row r="21" spans="2:21" x14ac:dyDescent="0.35">
      <c r="B21" s="2"/>
      <c r="D21" s="2"/>
      <c r="E21" s="2"/>
      <c r="F21" s="2"/>
    </row>
    <row r="22" spans="2:21" x14ac:dyDescent="0.35">
      <c r="B22" s="2"/>
      <c r="C22" s="2"/>
      <c r="D22" s="2"/>
      <c r="E22" s="2"/>
    </row>
    <row r="23" spans="2:21" x14ac:dyDescent="0.35">
      <c r="B23" s="2"/>
    </row>
    <row r="24" spans="2:21" x14ac:dyDescent="0.35">
      <c r="B24" s="2"/>
    </row>
    <row r="25" spans="2:21" x14ac:dyDescent="0.35">
      <c r="D25" s="2"/>
      <c r="E25" s="2"/>
      <c r="F25" s="2"/>
    </row>
    <row r="26" spans="2:21" x14ac:dyDescent="0.35">
      <c r="D26" s="2"/>
      <c r="E26" s="2"/>
      <c r="F26" s="2"/>
    </row>
    <row r="27" spans="2:21" x14ac:dyDescent="0.35">
      <c r="D27" s="2"/>
      <c r="E27" s="2"/>
      <c r="F27" s="2"/>
    </row>
    <row r="45" spans="1:7" ht="14.6" thickBot="1" x14ac:dyDescent="0.4"/>
    <row r="46" spans="1:7" ht="14.6" thickBot="1" x14ac:dyDescent="0.4">
      <c r="A46" s="8" t="s">
        <v>37</v>
      </c>
      <c r="B46" s="10" t="s">
        <v>38</v>
      </c>
      <c r="C46" s="10"/>
      <c r="D46" s="10"/>
      <c r="E46" s="10" t="s">
        <v>39</v>
      </c>
      <c r="F46" s="10"/>
      <c r="G46" s="10"/>
    </row>
    <row r="47" spans="1:7" ht="14.6" thickBot="1" x14ac:dyDescent="0.4">
      <c r="A47" s="9"/>
      <c r="B47" s="6" t="s">
        <v>40</v>
      </c>
      <c r="C47" s="6" t="s">
        <v>41</v>
      </c>
      <c r="D47" s="6" t="s">
        <v>42</v>
      </c>
      <c r="E47" s="6" t="s">
        <v>40</v>
      </c>
      <c r="F47" s="6" t="s">
        <v>41</v>
      </c>
      <c r="G47" s="6" t="s">
        <v>42</v>
      </c>
    </row>
    <row r="48" spans="1:7" ht="14.6" thickBot="1" x14ac:dyDescent="0.4">
      <c r="A48" s="7" t="s">
        <v>43</v>
      </c>
      <c r="B48" s="7">
        <v>86.7</v>
      </c>
      <c r="C48" s="7">
        <v>93.5</v>
      </c>
      <c r="D48" s="7">
        <v>79.900000000000006</v>
      </c>
      <c r="E48" s="7">
        <v>8.9</v>
      </c>
      <c r="F48" s="7">
        <v>8.3000000000000007</v>
      </c>
      <c r="G48" s="7">
        <v>9.6999999999999993</v>
      </c>
    </row>
    <row r="49" spans="1:7" ht="14.6" thickBot="1" x14ac:dyDescent="0.4">
      <c r="A49" s="7" t="s">
        <v>44</v>
      </c>
      <c r="B49" s="7">
        <v>416.2</v>
      </c>
      <c r="C49" s="7">
        <v>446.6</v>
      </c>
      <c r="D49" s="7">
        <v>407.8</v>
      </c>
      <c r="E49" s="7">
        <v>7.1</v>
      </c>
      <c r="F49" s="7">
        <v>6.6</v>
      </c>
      <c r="G49" s="7">
        <v>7.2</v>
      </c>
    </row>
    <row r="50" spans="1:7" ht="14.6" thickBot="1" x14ac:dyDescent="0.4">
      <c r="A50" s="7" t="s">
        <v>45</v>
      </c>
      <c r="B50" s="7">
        <v>865.9</v>
      </c>
      <c r="C50" s="7">
        <v>923.2</v>
      </c>
      <c r="D50" s="7">
        <v>854.4</v>
      </c>
      <c r="E50" s="7">
        <v>5.8</v>
      </c>
      <c r="F50" s="7">
        <v>5.5</v>
      </c>
      <c r="G50" s="7">
        <v>5.9</v>
      </c>
    </row>
    <row r="51" spans="1:7" ht="14.6" thickBot="1" x14ac:dyDescent="0.4">
      <c r="A51" s="7" t="s">
        <v>46</v>
      </c>
      <c r="B51" s="7">
        <v>156.6</v>
      </c>
      <c r="C51" s="7">
        <v>169.5</v>
      </c>
      <c r="D51" s="7">
        <v>139.6</v>
      </c>
      <c r="E51" s="7">
        <v>9.6999999999999993</v>
      </c>
      <c r="F51" s="7">
        <v>9</v>
      </c>
      <c r="G51" s="7">
        <v>10.9</v>
      </c>
    </row>
    <row r="52" spans="1:7" ht="14.6" thickBot="1" x14ac:dyDescent="0.4">
      <c r="A52" s="7" t="s">
        <v>47</v>
      </c>
      <c r="B52" s="7">
        <v>1314.9</v>
      </c>
      <c r="C52" s="7">
        <v>1405.2</v>
      </c>
      <c r="D52" s="7">
        <v>1304.9000000000001</v>
      </c>
      <c r="E52" s="7">
        <v>6.2</v>
      </c>
      <c r="F52" s="7">
        <v>5.8</v>
      </c>
      <c r="G52" s="7">
        <v>6.3</v>
      </c>
    </row>
    <row r="54" spans="1:7" x14ac:dyDescent="0.35">
      <c r="B54" s="11">
        <f>1-D48/C48</f>
        <v>0.14545454545454539</v>
      </c>
    </row>
    <row r="55" spans="1:7" x14ac:dyDescent="0.35">
      <c r="B55" s="11">
        <f t="shared" ref="B55:B58" si="1">1-D49/C49</f>
        <v>8.6878638602776559E-2</v>
      </c>
    </row>
    <row r="56" spans="1:7" x14ac:dyDescent="0.35">
      <c r="B56" s="11">
        <f t="shared" si="1"/>
        <v>7.4523396880415982E-2</v>
      </c>
    </row>
    <row r="57" spans="1:7" x14ac:dyDescent="0.35">
      <c r="B57" s="11">
        <f t="shared" si="1"/>
        <v>0.17640117994100302</v>
      </c>
    </row>
    <row r="58" spans="1:7" x14ac:dyDescent="0.35">
      <c r="B58" s="11">
        <f t="shared" si="1"/>
        <v>7.1377739823512587E-2</v>
      </c>
    </row>
  </sheetData>
  <mergeCells count="3">
    <mergeCell ref="A46:A47"/>
    <mergeCell ref="B46:D46"/>
    <mergeCell ref="E46:G46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7870-8A4A-401D-9685-6DCB5B188326}">
  <dimension ref="A1:M23"/>
  <sheetViews>
    <sheetView workbookViewId="0">
      <selection activeCell="B2" sqref="B2:B20"/>
    </sheetView>
  </sheetViews>
  <sheetFormatPr defaultRowHeight="14.15" x14ac:dyDescent="0.35"/>
  <cols>
    <col min="2" max="2" width="11.0703125" bestFit="1" customWidth="1"/>
    <col min="3" max="3" width="15" bestFit="1" customWidth="1"/>
    <col min="11" max="11" width="13.0703125" bestFit="1" customWidth="1"/>
    <col min="12" max="12" width="11.0703125" bestFit="1" customWidth="1"/>
  </cols>
  <sheetData>
    <row r="1" spans="1:13" x14ac:dyDescent="0.35">
      <c r="A1" t="s">
        <v>12</v>
      </c>
    </row>
    <row r="2" spans="1:13" x14ac:dyDescent="0.35">
      <c r="A2" t="s">
        <v>6</v>
      </c>
      <c r="B2" t="s">
        <v>22</v>
      </c>
      <c r="C2" t="s">
        <v>23</v>
      </c>
      <c r="D2" t="s">
        <v>24</v>
      </c>
      <c r="E2" t="s">
        <v>7</v>
      </c>
      <c r="F2" t="s">
        <v>8</v>
      </c>
      <c r="G2" t="s">
        <v>9</v>
      </c>
      <c r="H2" t="s">
        <v>10</v>
      </c>
      <c r="I2" t="s">
        <v>14</v>
      </c>
      <c r="J2" t="s">
        <v>16</v>
      </c>
      <c r="K2" t="s">
        <v>17</v>
      </c>
      <c r="L2" t="s">
        <v>18</v>
      </c>
      <c r="M2" t="s">
        <v>20</v>
      </c>
    </row>
    <row r="3" spans="1:13" x14ac:dyDescent="0.35">
      <c r="A3">
        <v>24</v>
      </c>
      <c r="B3" s="2">
        <v>291.666666666666</v>
      </c>
      <c r="C3" s="2">
        <v>1660.16502619889</v>
      </c>
      <c r="D3" s="2">
        <v>25.164698978674899</v>
      </c>
      <c r="E3" s="2">
        <v>11.590310176721401</v>
      </c>
      <c r="F3" s="2">
        <v>15</v>
      </c>
      <c r="G3" s="2">
        <v>1470.2014497777</v>
      </c>
      <c r="H3" s="2">
        <v>1842.3385454532199</v>
      </c>
      <c r="I3" s="2">
        <v>0.75012749787480004</v>
      </c>
      <c r="J3" s="2">
        <v>7.8125E-2</v>
      </c>
      <c r="K3" s="2">
        <v>23.987607162001101</v>
      </c>
      <c r="L3" s="3">
        <v>1.1770918166737401</v>
      </c>
      <c r="M3">
        <f>1-0.25*(1-B3/C3)</f>
        <v>0.79392133644305007</v>
      </c>
    </row>
    <row r="4" spans="1:13" x14ac:dyDescent="0.35">
      <c r="A4">
        <v>25</v>
      </c>
      <c r="B4" s="2">
        <v>583.33333333333303</v>
      </c>
      <c r="C4" s="2">
        <v>1627.3875791596499</v>
      </c>
      <c r="D4" s="2">
        <v>53.353299793584803</v>
      </c>
      <c r="E4" s="2">
        <v>10.9334068481266</v>
      </c>
      <c r="F4" s="2">
        <v>15</v>
      </c>
      <c r="G4" s="2">
        <v>1475.0762457851699</v>
      </c>
      <c r="H4" s="2">
        <v>1891.1313382236699</v>
      </c>
      <c r="I4" s="2">
        <v>0.73460926859662201</v>
      </c>
      <c r="J4" s="2">
        <v>7.8125E-2</v>
      </c>
      <c r="K4" s="2">
        <v>50.951700209451602</v>
      </c>
      <c r="L4" s="3">
        <v>2.4015995841331801</v>
      </c>
      <c r="M4">
        <f t="shared" ref="M4:M7" si="0">1-0.25*(1-B4/C4)</f>
        <v>0.83961192478108915</v>
      </c>
    </row>
    <row r="5" spans="1:13" x14ac:dyDescent="0.35">
      <c r="A5">
        <v>26</v>
      </c>
      <c r="B5" s="2">
        <v>875</v>
      </c>
      <c r="C5" s="2">
        <v>1630.6085379619201</v>
      </c>
      <c r="D5" s="2">
        <v>83.1459558004168</v>
      </c>
      <c r="E5" s="2">
        <v>10.5236627756176</v>
      </c>
      <c r="F5" s="2">
        <v>15</v>
      </c>
      <c r="G5" s="2">
        <v>1475.0762457851699</v>
      </c>
      <c r="H5" s="2">
        <v>1939.94966598116</v>
      </c>
      <c r="I5" s="2">
        <v>0.73788122669289402</v>
      </c>
      <c r="J5" s="2">
        <v>7.8125E-2</v>
      </c>
      <c r="K5" s="2">
        <v>79.550672282934798</v>
      </c>
      <c r="L5" s="3">
        <v>3.5952835174820299</v>
      </c>
      <c r="M5">
        <f t="shared" si="0"/>
        <v>0.88415237005530045</v>
      </c>
    </row>
    <row r="6" spans="1:13" x14ac:dyDescent="0.35">
      <c r="A6">
        <v>27</v>
      </c>
      <c r="B6" s="2">
        <v>1166.6666666666599</v>
      </c>
      <c r="C6" s="2">
        <v>1612.5809751653301</v>
      </c>
      <c r="D6" s="2">
        <v>115.31028484605601</v>
      </c>
      <c r="E6" s="2">
        <v>10.1176288674007</v>
      </c>
      <c r="F6" s="2">
        <v>15</v>
      </c>
      <c r="G6" s="2">
        <v>1477.50163095431</v>
      </c>
      <c r="H6" s="2">
        <v>1989.7940724285399</v>
      </c>
      <c r="I6" s="2">
        <v>0.73049357418900296</v>
      </c>
      <c r="J6" s="2">
        <v>7.8125E-2</v>
      </c>
      <c r="K6" s="2">
        <v>110.462983044132</v>
      </c>
      <c r="L6" s="3">
        <v>4.8473018019236198</v>
      </c>
      <c r="M6">
        <f>1-0.25*(1-B6/C6)</f>
        <v>0.93086947022102984</v>
      </c>
    </row>
    <row r="7" spans="1:13" x14ac:dyDescent="0.35">
      <c r="A7">
        <v>28</v>
      </c>
      <c r="B7" s="2">
        <v>1458.3333333333301</v>
      </c>
      <c r="C7" s="2">
        <v>1603.17942277252</v>
      </c>
      <c r="D7" s="2">
        <v>148.75602775406</v>
      </c>
      <c r="E7" s="2">
        <v>9.8035243031926793</v>
      </c>
      <c r="F7" s="2">
        <v>15</v>
      </c>
      <c r="G7" s="2">
        <v>1479.0479218278599</v>
      </c>
      <c r="H7" s="2">
        <v>2040.83332763679</v>
      </c>
      <c r="I7" s="2">
        <v>0.72715699368309095</v>
      </c>
      <c r="J7" s="2">
        <v>7.8125E-2</v>
      </c>
      <c r="K7" s="2">
        <v>142.66136785851501</v>
      </c>
      <c r="L7" s="3">
        <v>6.0946598955441296</v>
      </c>
      <c r="M7">
        <f t="shared" si="0"/>
        <v>0.97741268266955816</v>
      </c>
    </row>
    <row r="8" spans="1:13" x14ac:dyDescent="0.35">
      <c r="A8">
        <v>29</v>
      </c>
      <c r="B8" s="2">
        <v>1750</v>
      </c>
      <c r="C8" s="2">
        <v>1738.5052366007801</v>
      </c>
      <c r="D8" s="2">
        <v>198.47397126431099</v>
      </c>
      <c r="E8" s="2">
        <v>8.7593613687791105</v>
      </c>
      <c r="F8" s="2">
        <v>16.732017932743499</v>
      </c>
      <c r="G8" s="2">
        <v>1458.37584376769</v>
      </c>
      <c r="H8" s="2">
        <v>2112.0887079980798</v>
      </c>
      <c r="I8" s="2">
        <v>0.71887263901262299</v>
      </c>
      <c r="J8" s="2">
        <v>7.8125E-2</v>
      </c>
      <c r="K8" s="2">
        <v>191.773971264311</v>
      </c>
      <c r="L8" s="3">
        <v>6.7</v>
      </c>
    </row>
    <row r="9" spans="1:13" x14ac:dyDescent="0.35">
      <c r="A9">
        <v>30</v>
      </c>
      <c r="B9" s="2">
        <v>2041.6666666666599</v>
      </c>
      <c r="C9" s="2">
        <v>2052.6957829807002</v>
      </c>
      <c r="D9" s="2">
        <v>277.17552953926401</v>
      </c>
      <c r="E9" s="2">
        <v>7.3659701130919704</v>
      </c>
      <c r="F9" s="2">
        <v>20.6002718487882</v>
      </c>
      <c r="G9" s="2">
        <v>1410.71756792419</v>
      </c>
      <c r="H9" s="2">
        <v>2205.3295346570399</v>
      </c>
      <c r="I9" s="2">
        <v>0.71123082830427597</v>
      </c>
      <c r="J9" s="2">
        <v>7.8125E-2</v>
      </c>
      <c r="K9" s="2">
        <v>270.00995603262101</v>
      </c>
      <c r="L9" s="3">
        <v>7.1655735066433097</v>
      </c>
    </row>
    <row r="10" spans="1:13" x14ac:dyDescent="0.35">
      <c r="A10">
        <v>31</v>
      </c>
      <c r="B10" s="2">
        <v>2333.3333333333298</v>
      </c>
      <c r="C10" s="2">
        <v>2366.9676753519302</v>
      </c>
      <c r="D10" s="2">
        <v>380.11448026960301</v>
      </c>
      <c r="E10" s="2">
        <v>6.1385015684705602</v>
      </c>
      <c r="F10" s="2">
        <v>25.3361185504038</v>
      </c>
      <c r="G10" s="2">
        <v>1363.6520081226699</v>
      </c>
      <c r="H10" s="2">
        <v>2308.3295135634598</v>
      </c>
      <c r="I10" s="2">
        <v>0.69544518942623701</v>
      </c>
      <c r="J10" s="2">
        <v>0.625</v>
      </c>
      <c r="K10" s="2">
        <v>369.69194611971898</v>
      </c>
      <c r="L10" s="3">
        <v>10.422534149883999</v>
      </c>
    </row>
    <row r="11" spans="1:13" x14ac:dyDescent="0.35">
      <c r="A11">
        <v>32</v>
      </c>
      <c r="B11" s="2">
        <v>2625</v>
      </c>
      <c r="C11" s="2">
        <v>2630.5357990960802</v>
      </c>
      <c r="D11" s="2">
        <v>471.15716280042699</v>
      </c>
      <c r="E11" s="2">
        <v>5.5713893521170901</v>
      </c>
      <c r="F11" s="2">
        <v>29</v>
      </c>
      <c r="G11" s="2">
        <v>1324.17929718199</v>
      </c>
      <c r="H11" s="2">
        <v>2407.0991361652</v>
      </c>
      <c r="I11" s="2">
        <v>0.70772593305687403</v>
      </c>
      <c r="J11" s="2">
        <v>2.5</v>
      </c>
      <c r="K11" s="2">
        <v>457.62868161524102</v>
      </c>
      <c r="L11" s="3">
        <v>13.5284811851851</v>
      </c>
    </row>
    <row r="12" spans="1:13" x14ac:dyDescent="0.35">
      <c r="A12">
        <v>33</v>
      </c>
      <c r="B12" s="2">
        <v>2916.6666666666601</v>
      </c>
      <c r="C12" s="2">
        <v>2927.0040014266001</v>
      </c>
      <c r="D12" s="2">
        <v>592.60853562182899</v>
      </c>
      <c r="E12" s="2">
        <v>4.9217425861174604</v>
      </c>
      <c r="F12" s="2">
        <v>34</v>
      </c>
      <c r="G12" s="2">
        <v>1281.2076995607799</v>
      </c>
      <c r="H12" s="2">
        <v>2519.2482378357599</v>
      </c>
      <c r="I12" s="2">
        <v>0.69079951951876095</v>
      </c>
      <c r="J12" s="2">
        <v>2.5</v>
      </c>
      <c r="K12" s="2">
        <v>573.92413147368097</v>
      </c>
      <c r="L12" s="3">
        <v>18.684404148148101</v>
      </c>
    </row>
    <row r="13" spans="1:13" x14ac:dyDescent="0.35">
      <c r="A13">
        <v>34</v>
      </c>
      <c r="B13" s="2">
        <v>3208.3333333333298</v>
      </c>
      <c r="C13" s="2">
        <v>3235.6412845970199</v>
      </c>
      <c r="D13" s="2">
        <v>717.79394342849605</v>
      </c>
      <c r="E13" s="2">
        <v>4.4697135754711601</v>
      </c>
      <c r="F13" s="2">
        <v>39</v>
      </c>
      <c r="G13" s="2">
        <v>1236.57318561078</v>
      </c>
      <c r="H13" s="2">
        <v>2628.73705136951</v>
      </c>
      <c r="I13" s="2">
        <v>0.69965370147718897</v>
      </c>
      <c r="J13" s="2">
        <v>3.75</v>
      </c>
      <c r="K13" s="2">
        <v>692.78632742849595</v>
      </c>
      <c r="L13" s="3">
        <v>25.007615999999899</v>
      </c>
    </row>
    <row r="14" spans="1:13" x14ac:dyDescent="0.35">
      <c r="A14">
        <v>35</v>
      </c>
      <c r="B14" s="2">
        <v>3500</v>
      </c>
      <c r="C14" s="2">
        <v>3529.6470131508599</v>
      </c>
      <c r="D14" s="2">
        <v>868.84962968133698</v>
      </c>
      <c r="E14" s="2">
        <v>4.0283150046155498</v>
      </c>
      <c r="F14" s="2">
        <v>45</v>
      </c>
      <c r="G14" s="2">
        <v>1194.5567564978601</v>
      </c>
      <c r="H14" s="2">
        <v>2754.16555773969</v>
      </c>
      <c r="I14" s="2">
        <v>0.69649021046934101</v>
      </c>
      <c r="J14" s="2">
        <v>5</v>
      </c>
      <c r="K14" s="2">
        <v>834.545629681337</v>
      </c>
      <c r="L14" s="3">
        <v>34.304000000000002</v>
      </c>
    </row>
    <row r="15" spans="1:13" x14ac:dyDescent="0.35">
      <c r="A15">
        <v>36</v>
      </c>
      <c r="B15" s="2">
        <v>3791.6666666666601</v>
      </c>
      <c r="C15" s="2">
        <v>3782.25847599603</v>
      </c>
      <c r="D15" s="2">
        <v>998.99513671805505</v>
      </c>
      <c r="E15" s="2">
        <v>3.7860629516392601</v>
      </c>
      <c r="F15" s="2">
        <v>50</v>
      </c>
      <c r="G15" s="2">
        <v>1159.7115262510799</v>
      </c>
      <c r="H15" s="2">
        <v>2864.9944374199699</v>
      </c>
      <c r="I15" s="2">
        <v>0.70134689808551798</v>
      </c>
      <c r="J15" s="2">
        <v>5.8519902845340201</v>
      </c>
      <c r="K15" s="2">
        <v>955.380618199536</v>
      </c>
      <c r="L15" s="3">
        <v>43.614518518518501</v>
      </c>
    </row>
    <row r="16" spans="1:13" x14ac:dyDescent="0.35">
      <c r="A16">
        <v>37</v>
      </c>
      <c r="B16" s="2">
        <v>4083.3333333333298</v>
      </c>
      <c r="C16" s="2">
        <v>4116.4801778601804</v>
      </c>
      <c r="D16" s="2">
        <v>1190.78736416841</v>
      </c>
      <c r="E16" s="2">
        <v>3.4291036806432098</v>
      </c>
      <c r="F16" s="2">
        <v>57.635930786257298</v>
      </c>
      <c r="G16" s="2">
        <v>1113.1035063511299</v>
      </c>
      <c r="H16" s="2">
        <v>3002.8920566688398</v>
      </c>
      <c r="I16" s="2">
        <v>0.70115987857061901</v>
      </c>
      <c r="J16" s="2">
        <v>6.88746347227179</v>
      </c>
      <c r="K16" s="2">
        <v>1129.9254606965001</v>
      </c>
      <c r="L16" s="3">
        <v>60.861903471911297</v>
      </c>
    </row>
    <row r="17" spans="1:12" x14ac:dyDescent="0.35">
      <c r="A17">
        <v>38</v>
      </c>
      <c r="B17" s="2">
        <v>4375</v>
      </c>
      <c r="C17" s="2">
        <v>4405.6050652021504</v>
      </c>
      <c r="D17" s="2">
        <v>1372.1095164001299</v>
      </c>
      <c r="E17" s="2">
        <v>3.1885209946493398</v>
      </c>
      <c r="F17" s="2">
        <v>65.953720172124903</v>
      </c>
      <c r="G17" s="2">
        <v>1072.8263446170299</v>
      </c>
      <c r="H17" s="2">
        <v>3130.2229661654701</v>
      </c>
      <c r="I17" s="2">
        <v>0.68930172424326397</v>
      </c>
      <c r="J17" s="2">
        <v>7.06240275862252</v>
      </c>
      <c r="K17" s="2">
        <v>1305.1095164001299</v>
      </c>
      <c r="L17" s="3">
        <v>67</v>
      </c>
    </row>
    <row r="18" spans="1:12" x14ac:dyDescent="0.35">
      <c r="A18">
        <v>39</v>
      </c>
      <c r="B18" s="2">
        <v>4666.6666666666597</v>
      </c>
      <c r="C18" s="2">
        <v>4698.7103507804504</v>
      </c>
      <c r="D18" s="2">
        <v>1553.76735273534</v>
      </c>
      <c r="E18" s="2">
        <v>3.0034526458875499</v>
      </c>
      <c r="F18" s="2">
        <v>74.602901574308603</v>
      </c>
      <c r="G18" s="2">
        <v>1032.7842682732</v>
      </c>
      <c r="H18" s="2">
        <v>3276.1807895941602</v>
      </c>
      <c r="I18" s="2">
        <v>0.69796394785409599</v>
      </c>
      <c r="J18" s="2">
        <v>8.4503752839955109</v>
      </c>
      <c r="K18" s="2">
        <v>1486.76735273534</v>
      </c>
      <c r="L18" s="2">
        <v>67</v>
      </c>
    </row>
    <row r="19" spans="1:12" x14ac:dyDescent="0.35">
      <c r="A19">
        <v>40</v>
      </c>
      <c r="B19" s="2">
        <v>4958.3333333333303</v>
      </c>
      <c r="C19" s="2">
        <v>4985.3749119999602</v>
      </c>
      <c r="D19" s="2">
        <v>1793.3246519060201</v>
      </c>
      <c r="E19" s="2">
        <v>2.7648832731225799</v>
      </c>
      <c r="F19" s="2">
        <v>86</v>
      </c>
      <c r="G19" s="2">
        <v>993.44490674766405</v>
      </c>
      <c r="H19" s="2">
        <v>3453.9029504363002</v>
      </c>
      <c r="I19" s="2">
        <v>0.69481856186021496</v>
      </c>
      <c r="J19" s="2">
        <v>9.8079407152617293</v>
      </c>
      <c r="K19" s="2">
        <v>1726.3246519060201</v>
      </c>
      <c r="L19" s="2">
        <v>67</v>
      </c>
    </row>
    <row r="20" spans="1:12" x14ac:dyDescent="0.35">
      <c r="A20">
        <v>41</v>
      </c>
      <c r="B20" s="2">
        <v>5250</v>
      </c>
      <c r="C20" s="2">
        <v>5288.49756537752</v>
      </c>
      <c r="D20" s="2">
        <v>2014.4807164270101</v>
      </c>
      <c r="E20" s="2">
        <v>2.60613068032325</v>
      </c>
      <c r="F20" s="2">
        <v>97</v>
      </c>
      <c r="G20" s="2">
        <v>952.70805196964704</v>
      </c>
      <c r="H20" s="2">
        <v>3591.3761419055199</v>
      </c>
      <c r="I20" s="2">
        <v>0.69366860881357895</v>
      </c>
      <c r="J20" s="2">
        <v>10.185113208504401</v>
      </c>
      <c r="K20" s="2">
        <v>1947.4807164270101</v>
      </c>
      <c r="L20" s="2">
        <v>67</v>
      </c>
    </row>
    <row r="23" spans="1:12" x14ac:dyDescent="0.35">
      <c r="C23" s="2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4B65-B236-42BC-840E-65C6F867A4E1}">
  <dimension ref="A1:L20"/>
  <sheetViews>
    <sheetView workbookViewId="0">
      <selection activeCell="F3" sqref="F3:F21"/>
    </sheetView>
  </sheetViews>
  <sheetFormatPr defaultRowHeight="14.15" x14ac:dyDescent="0.35"/>
  <cols>
    <col min="2" max="2" width="11.0703125" bestFit="1" customWidth="1"/>
    <col min="3" max="3" width="15" bestFit="1" customWidth="1"/>
    <col min="11" max="11" width="13.0703125" bestFit="1" customWidth="1"/>
    <col min="12" max="12" width="11.0703125" bestFit="1" customWidth="1"/>
  </cols>
  <sheetData>
    <row r="1" spans="1:12" x14ac:dyDescent="0.35">
      <c r="A1" t="s">
        <v>11</v>
      </c>
    </row>
    <row r="2" spans="1:12" x14ac:dyDescent="0.35">
      <c r="A2" t="s">
        <v>6</v>
      </c>
      <c r="B2" t="s">
        <v>22</v>
      </c>
      <c r="C2" t="s">
        <v>23</v>
      </c>
      <c r="D2" t="s">
        <v>24</v>
      </c>
      <c r="E2" t="s">
        <v>7</v>
      </c>
      <c r="F2" t="s">
        <v>8</v>
      </c>
      <c r="G2" t="s">
        <v>9</v>
      </c>
      <c r="H2" t="s">
        <v>10</v>
      </c>
      <c r="I2" t="s">
        <v>14</v>
      </c>
      <c r="J2" t="s">
        <v>16</v>
      </c>
      <c r="K2" t="s">
        <v>17</v>
      </c>
      <c r="L2" t="s">
        <v>18</v>
      </c>
    </row>
    <row r="3" spans="1:12" x14ac:dyDescent="0.35">
      <c r="A3">
        <v>24</v>
      </c>
      <c r="B3" s="2">
        <v>291.666666666666</v>
      </c>
      <c r="C3" s="2">
        <v>1582.0888501219399</v>
      </c>
      <c r="D3" s="2">
        <v>27.870023294393</v>
      </c>
      <c r="E3" s="2">
        <v>10.465246605134499</v>
      </c>
      <c r="F3" s="2">
        <v>15</v>
      </c>
      <c r="G3" s="2">
        <v>1452.98835181301</v>
      </c>
      <c r="H3" s="2">
        <v>1857.6761396191</v>
      </c>
      <c r="I3" s="2">
        <v>0.80151024434208096</v>
      </c>
      <c r="J3" s="2">
        <v>0.15625</v>
      </c>
      <c r="K3" s="2">
        <v>26.634841928620698</v>
      </c>
      <c r="L3" s="3">
        <v>1.2351813657722399</v>
      </c>
    </row>
    <row r="4" spans="1:12" x14ac:dyDescent="0.35">
      <c r="A4">
        <v>25</v>
      </c>
      <c r="B4" s="2">
        <v>583.33333333333303</v>
      </c>
      <c r="C4" s="2">
        <v>1548.21226508007</v>
      </c>
      <c r="D4" s="2">
        <v>58.326296049721698</v>
      </c>
      <c r="E4" s="2">
        <v>10.0012065370318</v>
      </c>
      <c r="F4" s="2">
        <v>15</v>
      </c>
      <c r="G4" s="2">
        <v>1457.7310420695001</v>
      </c>
      <c r="H4" s="2">
        <v>1904.60310351058</v>
      </c>
      <c r="I4" s="2">
        <v>0.78581554581172697</v>
      </c>
      <c r="J4" s="2">
        <v>7.8125E-2</v>
      </c>
      <c r="K4" s="2">
        <v>55.801879067964201</v>
      </c>
      <c r="L4" s="3">
        <v>2.5244169817574602</v>
      </c>
    </row>
    <row r="5" spans="1:12" x14ac:dyDescent="0.35">
      <c r="A5">
        <v>26</v>
      </c>
      <c r="B5" s="2">
        <v>875</v>
      </c>
      <c r="C5" s="2">
        <v>1548.2258169111201</v>
      </c>
      <c r="D5" s="2">
        <v>90.091840374175803</v>
      </c>
      <c r="E5" s="2">
        <v>9.7123113077265106</v>
      </c>
      <c r="F5" s="2">
        <v>15</v>
      </c>
      <c r="G5" s="2">
        <v>1457.7310420695001</v>
      </c>
      <c r="H5" s="2">
        <v>1953.1919946124201</v>
      </c>
      <c r="I5" s="2">
        <v>0.78636537800275896</v>
      </c>
      <c r="J5" s="2">
        <v>7.8125E-2</v>
      </c>
      <c r="K5" s="2">
        <v>86.305248046387106</v>
      </c>
      <c r="L5" s="3">
        <v>3.7865923277886502</v>
      </c>
    </row>
    <row r="6" spans="1:12" x14ac:dyDescent="0.35">
      <c r="A6">
        <v>27</v>
      </c>
      <c r="B6" s="2">
        <v>1166.6666666666599</v>
      </c>
      <c r="C6" s="2">
        <v>1528.7967459583899</v>
      </c>
      <c r="D6" s="2">
        <v>123.75484449314</v>
      </c>
      <c r="E6" s="2">
        <v>9.4272403754774299</v>
      </c>
      <c r="F6" s="2">
        <v>15</v>
      </c>
      <c r="G6" s="2">
        <v>1460.73032696429</v>
      </c>
      <c r="H6" s="2">
        <v>2002.0566185584401</v>
      </c>
      <c r="I6" s="2">
        <v>0.77891583505561701</v>
      </c>
      <c r="J6" s="2">
        <v>7.8125E-2</v>
      </c>
      <c r="K6" s="2">
        <v>118.641890997307</v>
      </c>
      <c r="L6" s="3">
        <v>5.1129534958333798</v>
      </c>
    </row>
    <row r="7" spans="1:12" x14ac:dyDescent="0.35">
      <c r="A7">
        <v>28</v>
      </c>
      <c r="B7" s="2">
        <v>1458.3333333333301</v>
      </c>
      <c r="C7" s="2">
        <v>1521.4553351166201</v>
      </c>
      <c r="D7" s="2">
        <v>158.32629169961899</v>
      </c>
      <c r="E7" s="2">
        <v>9.2109359581295305</v>
      </c>
      <c r="F7" s="2">
        <v>15</v>
      </c>
      <c r="G7" s="2">
        <v>1461.8744522581601</v>
      </c>
      <c r="H7" s="2">
        <v>2052.7812316786999</v>
      </c>
      <c r="I7" s="2">
        <v>0.77644220976203904</v>
      </c>
      <c r="J7" s="2">
        <v>0.15625</v>
      </c>
      <c r="K7" s="2">
        <v>151.90426069561099</v>
      </c>
      <c r="L7" s="3">
        <v>6.4220310040086597</v>
      </c>
    </row>
    <row r="8" spans="1:12" x14ac:dyDescent="0.35">
      <c r="A8">
        <v>29</v>
      </c>
      <c r="B8" s="2">
        <v>1750</v>
      </c>
      <c r="C8" s="2">
        <v>1754.7244239489801</v>
      </c>
      <c r="D8" s="2">
        <v>220.49973037207999</v>
      </c>
      <c r="E8" s="2">
        <v>7.9365176413003997</v>
      </c>
      <c r="F8" s="2">
        <v>18.004471372172699</v>
      </c>
      <c r="G8" s="2">
        <v>1426.56946090821</v>
      </c>
      <c r="H8" s="2">
        <v>2133.9946708510201</v>
      </c>
      <c r="I8" s="2">
        <v>0.77338808837755602</v>
      </c>
      <c r="J8" s="2">
        <v>0.625</v>
      </c>
      <c r="K8" s="2">
        <v>213.79973037208001</v>
      </c>
      <c r="L8" s="3">
        <v>6.7</v>
      </c>
    </row>
    <row r="9" spans="1:12" x14ac:dyDescent="0.35">
      <c r="A9">
        <v>30</v>
      </c>
      <c r="B9" s="2">
        <v>2041.6666666666599</v>
      </c>
      <c r="C9" s="2">
        <v>2050.3493684617802</v>
      </c>
      <c r="D9" s="2">
        <v>303.59492725887497</v>
      </c>
      <c r="E9" s="2">
        <v>6.7249696333882998</v>
      </c>
      <c r="F9" s="2">
        <v>22.206630636856399</v>
      </c>
      <c r="G9" s="2">
        <v>1382.09365341583</v>
      </c>
      <c r="H9" s="2">
        <v>2226.8500960715701</v>
      </c>
      <c r="I9" s="2">
        <v>0.76818358487414895</v>
      </c>
      <c r="J9" s="2">
        <v>1.25</v>
      </c>
      <c r="K9" s="2">
        <v>295.41495103700998</v>
      </c>
      <c r="L9" s="3">
        <v>8.1799762218648002</v>
      </c>
    </row>
    <row r="10" spans="1:12" x14ac:dyDescent="0.35">
      <c r="A10">
        <v>31</v>
      </c>
      <c r="B10" s="2">
        <v>2333.3333333333298</v>
      </c>
      <c r="C10" s="2">
        <v>2299.1448530713901</v>
      </c>
      <c r="D10" s="2">
        <v>387.27454389614502</v>
      </c>
      <c r="E10" s="2">
        <v>5.9367311621905996</v>
      </c>
      <c r="F10" s="2">
        <v>26</v>
      </c>
      <c r="G10" s="2">
        <v>1344.2601782414699</v>
      </c>
      <c r="H10" s="2">
        <v>2319.5636552865099</v>
      </c>
      <c r="I10" s="2">
        <v>0.771107734369049</v>
      </c>
      <c r="J10" s="2">
        <v>2.5</v>
      </c>
      <c r="K10" s="2">
        <v>376.32886804429302</v>
      </c>
      <c r="L10" s="3">
        <v>10.945675851851799</v>
      </c>
    </row>
    <row r="11" spans="1:12" x14ac:dyDescent="0.35">
      <c r="A11">
        <v>32</v>
      </c>
      <c r="B11" s="2">
        <v>2625</v>
      </c>
      <c r="C11" s="2">
        <v>2651.3992302787301</v>
      </c>
      <c r="D11" s="2">
        <v>509.72807171755102</v>
      </c>
      <c r="E11" s="2">
        <v>5.1498046618365398</v>
      </c>
      <c r="F11" s="2">
        <v>31.7183733921248</v>
      </c>
      <c r="G11" s="2">
        <v>1291.9262617526699</v>
      </c>
      <c r="H11" s="2">
        <v>2421.01482423478</v>
      </c>
      <c r="I11" s="2">
        <v>0.76333274715588995</v>
      </c>
      <c r="J11" s="2">
        <v>2.5</v>
      </c>
      <c r="K11" s="2">
        <v>493.53407105392</v>
      </c>
      <c r="L11" s="3">
        <v>16.194000663631499</v>
      </c>
    </row>
    <row r="12" spans="1:12" x14ac:dyDescent="0.35">
      <c r="A12">
        <v>33</v>
      </c>
      <c r="B12" s="2">
        <v>2916.6666666666601</v>
      </c>
      <c r="C12" s="2">
        <v>2908.9429778045901</v>
      </c>
      <c r="D12" s="2">
        <v>626.78003862424998</v>
      </c>
      <c r="E12" s="2">
        <v>4.6410906514980397</v>
      </c>
      <c r="F12" s="2">
        <v>37</v>
      </c>
      <c r="G12" s="2">
        <v>1253.82858555197</v>
      </c>
      <c r="H12" s="2">
        <v>2516.1910431862302</v>
      </c>
      <c r="I12" s="2">
        <v>0.75099131437786804</v>
      </c>
      <c r="J12" s="2">
        <v>2.5</v>
      </c>
      <c r="K12" s="2">
        <v>604.44940514276902</v>
      </c>
      <c r="L12" s="3">
        <v>22.330633481481399</v>
      </c>
    </row>
    <row r="13" spans="1:12" x14ac:dyDescent="0.35">
      <c r="A13">
        <v>34</v>
      </c>
      <c r="B13" s="2">
        <v>3208.3333333333298</v>
      </c>
      <c r="C13" s="2">
        <v>3211.6997749305701</v>
      </c>
      <c r="D13" s="2">
        <v>754.25505670756502</v>
      </c>
      <c r="E13" s="2">
        <v>4.2536451095709902</v>
      </c>
      <c r="F13" s="2">
        <v>42.3201333180373</v>
      </c>
      <c r="G13" s="2">
        <v>1209.6971988131399</v>
      </c>
      <c r="H13" s="2">
        <v>2631.5890239021201</v>
      </c>
      <c r="I13" s="2">
        <v>0.77681958650635996</v>
      </c>
      <c r="J13" s="2">
        <v>5</v>
      </c>
      <c r="K13" s="2">
        <v>724.34532013638295</v>
      </c>
      <c r="L13" s="3">
        <v>29.9097365711824</v>
      </c>
    </row>
    <row r="14" spans="1:12" x14ac:dyDescent="0.35">
      <c r="A14">
        <v>35</v>
      </c>
      <c r="B14" s="2">
        <v>3500</v>
      </c>
      <c r="C14" s="2">
        <v>3520.7021730841898</v>
      </c>
      <c r="D14" s="2">
        <v>924.87296082451098</v>
      </c>
      <c r="E14" s="2">
        <v>3.78430351870142</v>
      </c>
      <c r="F14" s="2">
        <v>50.037392341735199</v>
      </c>
      <c r="G14" s="2">
        <v>1164.23580934243</v>
      </c>
      <c r="H14" s="2">
        <v>2742.4794307298898</v>
      </c>
      <c r="I14" s="2">
        <v>0.76204710305462697</v>
      </c>
      <c r="J14" s="2">
        <v>5</v>
      </c>
      <c r="K14" s="2">
        <v>881.18312904441302</v>
      </c>
      <c r="L14" s="3">
        <v>43.689831780098302</v>
      </c>
    </row>
    <row r="15" spans="1:12" x14ac:dyDescent="0.35">
      <c r="A15">
        <v>36</v>
      </c>
      <c r="B15" s="2">
        <v>3791.6666666666601</v>
      </c>
      <c r="C15" s="2">
        <v>3827.3586527381299</v>
      </c>
      <c r="D15" s="2">
        <v>1081.0006447385999</v>
      </c>
      <c r="E15" s="2">
        <v>3.5075526412692701</v>
      </c>
      <c r="F15" s="2">
        <v>57</v>
      </c>
      <c r="G15" s="2">
        <v>1119.9081457626401</v>
      </c>
      <c r="H15" s="2">
        <v>2842.7832511534202</v>
      </c>
      <c r="I15" s="2">
        <v>0.75928602021856095</v>
      </c>
      <c r="J15" s="2">
        <v>5</v>
      </c>
      <c r="K15" s="2">
        <v>1021.7233327386</v>
      </c>
      <c r="L15" s="3">
        <v>59.277311999999903</v>
      </c>
    </row>
    <row r="16" spans="1:12" x14ac:dyDescent="0.35">
      <c r="A16">
        <v>37</v>
      </c>
      <c r="B16" s="2">
        <v>4083.3333333333298</v>
      </c>
      <c r="C16" s="2">
        <v>4119.6720347840901</v>
      </c>
      <c r="D16" s="2">
        <v>1249.29360534226</v>
      </c>
      <c r="E16" s="2">
        <v>3.2685137551909702</v>
      </c>
      <c r="F16" s="2">
        <v>65.366412626509202</v>
      </c>
      <c r="G16" s="2">
        <v>1077.2381787658001</v>
      </c>
      <c r="H16" s="2">
        <v>2962.0627818560301</v>
      </c>
      <c r="I16" s="2">
        <v>0.76389019057432295</v>
      </c>
      <c r="J16" s="2">
        <v>6.0095352106770399</v>
      </c>
      <c r="K16" s="2">
        <v>1182.29360534226</v>
      </c>
      <c r="L16" s="3">
        <v>67</v>
      </c>
    </row>
    <row r="17" spans="1:12" x14ac:dyDescent="0.35">
      <c r="A17">
        <v>38</v>
      </c>
      <c r="B17" s="2">
        <v>4375</v>
      </c>
      <c r="C17" s="2">
        <v>4407.3322884078398</v>
      </c>
      <c r="D17" s="2">
        <v>1421.05976287921</v>
      </c>
      <c r="E17" s="2">
        <v>3.0786882538534499</v>
      </c>
      <c r="F17" s="2">
        <v>74.863249413216195</v>
      </c>
      <c r="G17" s="2">
        <v>1035.7405980819401</v>
      </c>
      <c r="H17" s="2">
        <v>3090.4660370544002</v>
      </c>
      <c r="I17" s="2">
        <v>0.77102339234292605</v>
      </c>
      <c r="J17" s="2">
        <v>7.1924120617779002</v>
      </c>
      <c r="K17" s="3">
        <v>1354.05976287921</v>
      </c>
      <c r="L17" s="3">
        <v>67</v>
      </c>
    </row>
    <row r="18" spans="1:12" x14ac:dyDescent="0.35">
      <c r="A18">
        <v>39</v>
      </c>
      <c r="B18" s="2">
        <v>4666.6666666666597</v>
      </c>
      <c r="C18" s="2">
        <v>4662.5730922913399</v>
      </c>
      <c r="D18" s="2">
        <v>1603.0468273643701</v>
      </c>
      <c r="E18" s="2">
        <v>2.90856948948724</v>
      </c>
      <c r="F18" s="2">
        <v>85.676635907680705</v>
      </c>
      <c r="G18" s="2">
        <v>997.04009701006703</v>
      </c>
      <c r="H18" s="2">
        <v>3207.7071251369698</v>
      </c>
      <c r="I18" s="2">
        <v>0.76130772060898699</v>
      </c>
      <c r="J18" s="2">
        <v>7.2927918604463198</v>
      </c>
      <c r="K18" s="2">
        <v>1536.0468273643701</v>
      </c>
      <c r="L18" s="2">
        <v>67</v>
      </c>
    </row>
    <row r="19" spans="1:12" x14ac:dyDescent="0.35">
      <c r="A19">
        <v>40</v>
      </c>
      <c r="B19" s="2">
        <v>4958.3333333333303</v>
      </c>
      <c r="C19" s="2">
        <v>4971.2100008097304</v>
      </c>
      <c r="D19" s="2">
        <v>1876.1976121298601</v>
      </c>
      <c r="E19" s="2">
        <v>2.6427564459505999</v>
      </c>
      <c r="F19" s="2">
        <v>102.57489069974601</v>
      </c>
      <c r="G19" s="2">
        <v>947.814719048661</v>
      </c>
      <c r="H19" s="2">
        <v>3347.8317128906001</v>
      </c>
      <c r="I19" s="2">
        <v>0.74727882951943203</v>
      </c>
      <c r="J19" s="2">
        <v>7.4618290526938003</v>
      </c>
      <c r="K19" s="2">
        <v>1809.1976121298601</v>
      </c>
      <c r="L19" s="2">
        <v>67</v>
      </c>
    </row>
    <row r="20" spans="1:12" x14ac:dyDescent="0.35">
      <c r="A20">
        <v>41</v>
      </c>
      <c r="B20" s="2">
        <v>5250</v>
      </c>
      <c r="C20" s="2">
        <v>5305.7374097587799</v>
      </c>
      <c r="D20" s="2">
        <v>2166.93321669437</v>
      </c>
      <c r="E20" s="2">
        <v>2.4227788653352098</v>
      </c>
      <c r="F20" s="2">
        <v>118.416672483734</v>
      </c>
      <c r="G20" s="2">
        <v>899.10301790655899</v>
      </c>
      <c r="H20" s="2">
        <v>3496.5600158171201</v>
      </c>
      <c r="I20" s="2">
        <v>0.763123737742327</v>
      </c>
      <c r="J20" s="2">
        <v>8.9237579660306601</v>
      </c>
      <c r="K20" s="2">
        <v>2099.93321669437</v>
      </c>
      <c r="L20" s="2">
        <v>67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2858-34CC-4538-A6A7-03CF94F54B87}">
  <dimension ref="A1:M20"/>
  <sheetViews>
    <sheetView tabSelected="1" topLeftCell="B1" zoomScaleNormal="100" workbookViewId="0">
      <selection activeCell="E23" sqref="E23"/>
    </sheetView>
  </sheetViews>
  <sheetFormatPr defaultRowHeight="14.15" x14ac:dyDescent="0.35"/>
  <cols>
    <col min="2" max="2" width="12" bestFit="1" customWidth="1"/>
    <col min="3" max="3" width="15.92578125" bestFit="1" customWidth="1"/>
    <col min="6" max="6" width="10.5" bestFit="1" customWidth="1"/>
  </cols>
  <sheetData>
    <row r="1" spans="1:13" x14ac:dyDescent="0.35">
      <c r="A1" t="s">
        <v>27</v>
      </c>
    </row>
    <row r="2" spans="1:13" x14ac:dyDescent="0.35">
      <c r="A2" t="s">
        <v>6</v>
      </c>
      <c r="B2" t="s">
        <v>22</v>
      </c>
      <c r="C2" t="s">
        <v>23</v>
      </c>
      <c r="D2" t="s">
        <v>24</v>
      </c>
      <c r="E2" t="s">
        <v>7</v>
      </c>
      <c r="F2" t="s">
        <v>8</v>
      </c>
      <c r="G2" t="s">
        <v>9</v>
      </c>
      <c r="H2" t="s">
        <v>10</v>
      </c>
      <c r="I2" t="s">
        <v>14</v>
      </c>
      <c r="J2" t="s">
        <v>16</v>
      </c>
      <c r="K2" t="s">
        <v>17</v>
      </c>
      <c r="L2" t="s">
        <v>18</v>
      </c>
      <c r="M2" t="s">
        <v>20</v>
      </c>
    </row>
    <row r="3" spans="1:13" x14ac:dyDescent="0.35">
      <c r="A3">
        <v>24</v>
      </c>
      <c r="B3" s="2">
        <v>291.666666666666</v>
      </c>
      <c r="C3" s="2">
        <v>1000.95448345486</v>
      </c>
      <c r="D3" s="2">
        <v>18.023183852228598</v>
      </c>
      <c r="E3" s="2">
        <v>16.182860312474698</v>
      </c>
      <c r="F3" s="2">
        <v>15</v>
      </c>
      <c r="G3" s="2">
        <v>879.15898241956802</v>
      </c>
      <c r="H3" s="2">
        <v>1027.53405098693</v>
      </c>
      <c r="I3" s="2">
        <v>0.38586963870327701</v>
      </c>
      <c r="J3" s="2">
        <v>7.8125E-2</v>
      </c>
      <c r="K3" s="2">
        <v>16.0708806266896</v>
      </c>
      <c r="L3" s="3">
        <v>1.952303225539</v>
      </c>
      <c r="M3">
        <f>1-0.25*(1-B3/C3)</f>
        <v>0.82284713528130649</v>
      </c>
    </row>
    <row r="4" spans="1:13" x14ac:dyDescent="0.35">
      <c r="A4">
        <v>25</v>
      </c>
      <c r="B4" s="2">
        <v>583.33333333333303</v>
      </c>
      <c r="C4" s="2">
        <v>998.66236033662994</v>
      </c>
      <c r="D4" s="2">
        <v>44.466985388581698</v>
      </c>
      <c r="E4" s="2">
        <v>13.1183467517706</v>
      </c>
      <c r="F4" s="2">
        <v>15</v>
      </c>
      <c r="G4" s="2">
        <v>879.15898241956802</v>
      </c>
      <c r="H4" s="2">
        <v>1092.9215197623</v>
      </c>
      <c r="I4" s="2">
        <v>0.39815727683466601</v>
      </c>
      <c r="J4" s="2">
        <v>5</v>
      </c>
      <c r="K4" s="2">
        <v>40.553417111095101</v>
      </c>
      <c r="L4" s="3">
        <v>3.9135682774866001</v>
      </c>
      <c r="M4">
        <f t="shared" ref="M4:M7" si="0">1-0.25*(1-B4/C4)</f>
        <v>0.89602866707039563</v>
      </c>
    </row>
    <row r="5" spans="1:13" x14ac:dyDescent="0.35">
      <c r="A5">
        <v>26</v>
      </c>
      <c r="B5" s="2">
        <v>875</v>
      </c>
      <c r="C5" s="2">
        <v>997.71432659139703</v>
      </c>
      <c r="D5" s="2">
        <v>68.072441733038602</v>
      </c>
      <c r="E5" s="2">
        <v>12.8539534901878</v>
      </c>
      <c r="F5" s="2">
        <v>15</v>
      </c>
      <c r="G5" s="2">
        <v>879.15898241956802</v>
      </c>
      <c r="H5" s="2">
        <v>1119.9615922314099</v>
      </c>
      <c r="I5" s="2">
        <v>0.398619928720234</v>
      </c>
      <c r="J5" s="2">
        <v>5</v>
      </c>
      <c r="K5" s="2">
        <v>62.196511275039903</v>
      </c>
      <c r="L5" s="3">
        <v>5.8759304579986402</v>
      </c>
      <c r="M5">
        <f>1-0.25*(1-B5/C5)</f>
        <v>0.96925113649248684</v>
      </c>
    </row>
    <row r="6" spans="1:13" x14ac:dyDescent="0.35">
      <c r="A6">
        <v>27</v>
      </c>
      <c r="B6" s="2">
        <v>1166.6666666666599</v>
      </c>
      <c r="C6" s="2">
        <v>1169.9575530149</v>
      </c>
      <c r="D6" s="2">
        <v>97.665252047142303</v>
      </c>
      <c r="E6" s="2">
        <v>11.9455655129372</v>
      </c>
      <c r="F6" s="2">
        <v>18</v>
      </c>
      <c r="G6" s="2">
        <v>873.54797410339495</v>
      </c>
      <c r="H6" s="2">
        <v>1147.4883705540799</v>
      </c>
      <c r="I6" s="2">
        <v>0.37629066288934598</v>
      </c>
      <c r="J6" s="2">
        <v>5</v>
      </c>
      <c r="K6" s="2">
        <v>90.9652520471423</v>
      </c>
      <c r="L6" s="3">
        <v>6.7</v>
      </c>
      <c r="M6">
        <f>1-0.25*(1-B6/C6)</f>
        <v>0.99929679364440194</v>
      </c>
    </row>
    <row r="7" spans="1:13" x14ac:dyDescent="0.35">
      <c r="A7">
        <v>28</v>
      </c>
      <c r="B7" s="2">
        <v>1458.3333333333301</v>
      </c>
      <c r="C7" s="2">
        <v>1443.1750422719999</v>
      </c>
      <c r="D7" s="2">
        <v>135.038277098267</v>
      </c>
      <c r="E7" s="2">
        <v>10.6871553257585</v>
      </c>
      <c r="F7" s="2">
        <v>24.656983673938299</v>
      </c>
      <c r="G7" s="2">
        <v>847.10402945295004</v>
      </c>
      <c r="H7" s="2">
        <v>1132.5029037660299</v>
      </c>
      <c r="I7" s="2">
        <v>0.38244032373833398</v>
      </c>
      <c r="J7" s="2">
        <v>0.625</v>
      </c>
      <c r="K7" s="2">
        <v>125.13337817449001</v>
      </c>
      <c r="L7" s="3">
        <v>9.9048989237769103</v>
      </c>
      <c r="M7">
        <f t="shared" si="0"/>
        <v>1.0026258580243783</v>
      </c>
    </row>
    <row r="8" spans="1:13" x14ac:dyDescent="0.35">
      <c r="A8">
        <v>29</v>
      </c>
      <c r="B8" s="2">
        <v>1750</v>
      </c>
      <c r="C8" s="2">
        <v>1719.12349076396</v>
      </c>
      <c r="D8" s="2">
        <v>198.78983592369201</v>
      </c>
      <c r="E8" s="2">
        <v>8.6479446133446398</v>
      </c>
      <c r="F8" s="2">
        <v>30.7624104292351</v>
      </c>
      <c r="G8" s="2">
        <v>825.20928885345597</v>
      </c>
      <c r="H8" s="2">
        <v>1180.65573291398</v>
      </c>
      <c r="I8" s="2">
        <v>0.37697988462023002</v>
      </c>
      <c r="J8" s="2">
        <v>0.625</v>
      </c>
      <c r="K8" s="2">
        <v>183.569729538666</v>
      </c>
      <c r="L8" s="3">
        <v>15.2201063850269</v>
      </c>
    </row>
    <row r="9" spans="1:13" x14ac:dyDescent="0.35">
      <c r="A9">
        <v>30</v>
      </c>
      <c r="B9" s="2">
        <v>2041.6666666666599</v>
      </c>
      <c r="C9" s="2">
        <v>2010.14016608007</v>
      </c>
      <c r="D9" s="2">
        <v>275.18449743356598</v>
      </c>
      <c r="E9" s="2">
        <v>7.3046998825409997</v>
      </c>
      <c r="F9" s="2">
        <v>37.321230063466999</v>
      </c>
      <c r="G9" s="2">
        <v>799.81253386638105</v>
      </c>
      <c r="H9" s="2">
        <v>1231.3242914247301</v>
      </c>
      <c r="I9" s="2">
        <v>0.37651912217016598</v>
      </c>
      <c r="J9" s="2">
        <v>1.25</v>
      </c>
      <c r="K9" s="2">
        <v>252.43745962819901</v>
      </c>
      <c r="L9" s="3">
        <v>22.747037805366698</v>
      </c>
    </row>
    <row r="10" spans="1:13" x14ac:dyDescent="0.35">
      <c r="A10">
        <v>31</v>
      </c>
      <c r="B10" s="2">
        <v>2333.3333333333298</v>
      </c>
      <c r="C10" s="2">
        <v>2317.7237882913801</v>
      </c>
      <c r="D10" s="2">
        <v>375.67492539991002</v>
      </c>
      <c r="E10" s="2">
        <v>6.1694929088603203</v>
      </c>
      <c r="F10" s="2">
        <v>45.5146250513206</v>
      </c>
      <c r="G10" s="2">
        <v>773.03425809122496</v>
      </c>
      <c r="H10" s="2">
        <v>1288.5343181516901</v>
      </c>
      <c r="I10" s="2">
        <v>0.375599567477723</v>
      </c>
      <c r="J10" s="2">
        <v>2.5</v>
      </c>
      <c r="K10" s="2">
        <v>340.48064800397998</v>
      </c>
      <c r="L10" s="3">
        <v>35.194277395930399</v>
      </c>
    </row>
    <row r="11" spans="1:13" x14ac:dyDescent="0.35">
      <c r="A11">
        <v>32</v>
      </c>
      <c r="B11" s="2">
        <v>2625</v>
      </c>
      <c r="C11" s="2">
        <v>2610.7870973774902</v>
      </c>
      <c r="D11" s="2">
        <v>498.63078863431002</v>
      </c>
      <c r="E11" s="2">
        <v>5.23591233611572</v>
      </c>
      <c r="F11" s="2">
        <v>55.109935004077698</v>
      </c>
      <c r="G11" s="2">
        <v>744.79496705470694</v>
      </c>
      <c r="H11" s="2">
        <v>1348.5950966668099</v>
      </c>
      <c r="I11" s="2">
        <v>0.364481420293708</v>
      </c>
      <c r="J11" s="2">
        <v>2.5</v>
      </c>
      <c r="K11" s="2">
        <v>443.90025205260599</v>
      </c>
      <c r="L11" s="3">
        <v>54.730536581703802</v>
      </c>
    </row>
    <row r="12" spans="1:13" x14ac:dyDescent="0.35">
      <c r="A12">
        <v>33</v>
      </c>
      <c r="B12" s="2">
        <v>2916.6666666666601</v>
      </c>
      <c r="C12" s="2">
        <v>2899.9024972964698</v>
      </c>
      <c r="D12" s="2">
        <v>609.28111918672096</v>
      </c>
      <c r="E12" s="2">
        <v>4.75954761435462</v>
      </c>
      <c r="F12" s="2">
        <v>64.266571527265498</v>
      </c>
      <c r="G12" s="2">
        <v>721.91955552350601</v>
      </c>
      <c r="H12" s="2">
        <v>1404.9062001181801</v>
      </c>
      <c r="I12" s="2">
        <v>0.36149232174675799</v>
      </c>
      <c r="J12" s="2">
        <v>2.5</v>
      </c>
      <c r="K12" s="2">
        <v>542.28111918672096</v>
      </c>
      <c r="L12" s="3">
        <v>67</v>
      </c>
    </row>
    <row r="13" spans="1:13" x14ac:dyDescent="0.35">
      <c r="A13">
        <v>34</v>
      </c>
      <c r="B13" s="2">
        <v>3208.3333333333298</v>
      </c>
      <c r="C13" s="2">
        <v>3272.2557763431701</v>
      </c>
      <c r="D13" s="2">
        <v>742.323708244415</v>
      </c>
      <c r="E13" s="2">
        <v>4.3220138299516204</v>
      </c>
      <c r="F13" s="2">
        <v>77.6748055290753</v>
      </c>
      <c r="G13" s="2">
        <v>689.39519279824003</v>
      </c>
      <c r="H13" s="2">
        <v>1478.9843056458899</v>
      </c>
      <c r="I13" s="2">
        <v>0.37234486328748601</v>
      </c>
      <c r="J13" s="2">
        <v>5</v>
      </c>
      <c r="K13" s="2">
        <v>675.323708244415</v>
      </c>
      <c r="L13" s="3">
        <v>67</v>
      </c>
    </row>
    <row r="14" spans="1:13" x14ac:dyDescent="0.35">
      <c r="A14">
        <v>35</v>
      </c>
      <c r="B14" s="2">
        <v>3500</v>
      </c>
      <c r="C14" s="2">
        <v>3433.6113598941702</v>
      </c>
      <c r="D14" s="2">
        <v>821.36095995692801</v>
      </c>
      <c r="E14" s="2">
        <v>4.1803926985697402</v>
      </c>
      <c r="F14" s="2">
        <v>85.539654580114103</v>
      </c>
      <c r="G14" s="2">
        <v>675.05768822647497</v>
      </c>
      <c r="H14" s="2">
        <v>1530.79299539095</v>
      </c>
      <c r="I14" s="2">
        <v>0.36747641492713601</v>
      </c>
      <c r="J14" s="2">
        <v>5</v>
      </c>
      <c r="K14" s="2">
        <v>754.36095995692801</v>
      </c>
      <c r="L14" s="3">
        <v>67</v>
      </c>
    </row>
    <row r="15" spans="1:13" x14ac:dyDescent="0.35">
      <c r="A15">
        <v>36</v>
      </c>
      <c r="B15" s="2">
        <v>3791.6666666666601</v>
      </c>
      <c r="C15" s="2">
        <v>3728.0637426600001</v>
      </c>
      <c r="D15" s="2">
        <v>961.42884668309898</v>
      </c>
      <c r="E15" s="2">
        <v>3.87762833986281</v>
      </c>
      <c r="F15" s="2">
        <v>101.68291913889399</v>
      </c>
      <c r="G15" s="2">
        <v>647.80692564077503</v>
      </c>
      <c r="H15" s="2">
        <v>1597.8477275120799</v>
      </c>
      <c r="I15" s="2">
        <v>0.36111800620448498</v>
      </c>
      <c r="J15" s="2">
        <v>5</v>
      </c>
      <c r="K15" s="2">
        <v>894.42884668309898</v>
      </c>
      <c r="L15" s="3">
        <v>67</v>
      </c>
    </row>
    <row r="16" spans="1:13" x14ac:dyDescent="0.35">
      <c r="A16">
        <v>37</v>
      </c>
      <c r="B16" s="2">
        <v>4083.3333333333298</v>
      </c>
      <c r="C16" s="2">
        <v>4064.24914305734</v>
      </c>
      <c r="D16" s="2">
        <v>1120.2892531336499</v>
      </c>
      <c r="E16" s="2">
        <v>3.6278569411327202</v>
      </c>
      <c r="F16" s="2">
        <v>118.648807012403</v>
      </c>
      <c r="G16" s="2">
        <v>621.31414686125595</v>
      </c>
      <c r="H16" s="2">
        <v>1678.2749610906301</v>
      </c>
      <c r="I16" s="2">
        <v>0.37090198791159101</v>
      </c>
      <c r="J16" s="2">
        <v>7.0434490610648597</v>
      </c>
      <c r="K16" s="2">
        <v>1053.2892531336499</v>
      </c>
      <c r="L16" s="3">
        <v>67</v>
      </c>
    </row>
    <row r="17" spans="1:12" x14ac:dyDescent="0.35">
      <c r="A17">
        <v>38</v>
      </c>
      <c r="B17" s="2">
        <v>4375</v>
      </c>
      <c r="C17" s="2">
        <v>4381.2978822784798</v>
      </c>
      <c r="D17" s="2">
        <v>1422.0881024359301</v>
      </c>
      <c r="E17" s="2">
        <v>3.0764619945177301</v>
      </c>
      <c r="F17" s="2">
        <v>143.26472172141399</v>
      </c>
      <c r="G17" s="2">
        <v>587.49565183392099</v>
      </c>
      <c r="H17" s="2">
        <v>1763.21633865371</v>
      </c>
      <c r="I17" s="2">
        <v>0.36352397107253398</v>
      </c>
      <c r="J17" s="2">
        <v>7.3437159645001202</v>
      </c>
      <c r="K17" s="3">
        <v>1355.0881024359301</v>
      </c>
      <c r="L17" s="3">
        <v>67</v>
      </c>
    </row>
    <row r="18" spans="1:12" x14ac:dyDescent="0.35">
      <c r="A18">
        <v>39</v>
      </c>
      <c r="B18" s="2">
        <v>4666.6666666666597</v>
      </c>
      <c r="C18" s="2">
        <v>4618.4627352991101</v>
      </c>
      <c r="D18" s="2">
        <v>1748.22195292681</v>
      </c>
      <c r="E18" s="2">
        <v>2.6418057086899198</v>
      </c>
      <c r="F18" s="2">
        <v>162</v>
      </c>
      <c r="G18" s="2">
        <v>565.86983836260003</v>
      </c>
      <c r="H18" s="2">
        <v>1862.97752423364</v>
      </c>
      <c r="I18" s="2">
        <v>0.37651450395483299</v>
      </c>
      <c r="J18" s="2">
        <v>10.120131202733999</v>
      </c>
      <c r="K18" s="2">
        <v>1681.22195292681</v>
      </c>
      <c r="L18" s="2">
        <v>67</v>
      </c>
    </row>
    <row r="19" spans="1:12" x14ac:dyDescent="0.35">
      <c r="A19">
        <v>40</v>
      </c>
      <c r="B19" s="2">
        <v>4958.3333333333303</v>
      </c>
      <c r="C19" s="2">
        <v>4901.4494366359304</v>
      </c>
      <c r="D19" s="2">
        <v>2696.1824613957501</v>
      </c>
      <c r="E19" s="2">
        <v>1.81792200892018</v>
      </c>
      <c r="F19" s="2">
        <v>197.39239573102799</v>
      </c>
      <c r="G19" s="2">
        <v>538.43851469336505</v>
      </c>
      <c r="H19" s="2">
        <v>1970.82499196201</v>
      </c>
      <c r="I19" s="2">
        <v>0.36466012695587402</v>
      </c>
      <c r="J19" s="2">
        <v>10.490248190382401</v>
      </c>
      <c r="K19" s="2">
        <v>2629.1824613957501</v>
      </c>
      <c r="L19" s="2">
        <v>67</v>
      </c>
    </row>
    <row r="20" spans="1:12" x14ac:dyDescent="0.35">
      <c r="A20">
        <v>41</v>
      </c>
      <c r="B20" s="2">
        <v>5250</v>
      </c>
      <c r="C20" s="2">
        <v>4947.8722261023404</v>
      </c>
      <c r="D20" s="2">
        <v>3326.7865375842198</v>
      </c>
      <c r="E20" s="2">
        <v>1.48728274874386</v>
      </c>
      <c r="F20" s="2">
        <v>210</v>
      </c>
      <c r="G20" s="2">
        <v>528.78864421789297</v>
      </c>
      <c r="H20" s="2">
        <v>2042.64597015463</v>
      </c>
      <c r="I20" s="2">
        <v>0.35982070305441199</v>
      </c>
      <c r="J20" s="2">
        <v>10.8315273076817</v>
      </c>
      <c r="K20" s="2">
        <v>3259.7865375842198</v>
      </c>
      <c r="L20" s="2">
        <v>67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R32</vt:lpstr>
      <vt:lpstr>R410A</vt:lpstr>
      <vt:lpstr>R290(Drop-in)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张钦松</dc:creator>
  <cp:lastModifiedBy>Qinsong Zhang</cp:lastModifiedBy>
  <dcterms:created xsi:type="dcterms:W3CDTF">2015-06-05T18:19:34Z</dcterms:created>
  <dcterms:modified xsi:type="dcterms:W3CDTF">2026-01-23T10:48:09Z</dcterms:modified>
</cp:coreProperties>
</file>