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学习\毕设\"/>
    </mc:Choice>
  </mc:AlternateContent>
  <xr:revisionPtr revIDLastSave="0" documentId="13_ncr:1_{12720D34-35FE-452B-BB15-200A034BDF75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ssp126" sheetId="1" r:id="rId1"/>
    <sheet name="ssp245" sheetId="3" r:id="rId2"/>
    <sheet name="ssp585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6" i="2" l="1"/>
  <c r="AE6" i="2"/>
  <c r="AD6" i="2"/>
  <c r="AC6" i="2"/>
  <c r="AB6" i="2"/>
  <c r="AA6" i="2"/>
  <c r="Z6" i="2"/>
  <c r="Y6" i="2"/>
  <c r="X6" i="2"/>
  <c r="W6" i="2"/>
  <c r="V6" i="2"/>
  <c r="U6" i="2"/>
  <c r="T6" i="2"/>
  <c r="T7" i="2" s="1"/>
  <c r="T8" i="2" s="1"/>
  <c r="S6" i="2"/>
  <c r="S7" i="2" s="1"/>
  <c r="S8" i="2" s="1"/>
  <c r="R6" i="2"/>
  <c r="R7" i="2" s="1"/>
  <c r="R8" i="2" s="1"/>
  <c r="Q6" i="2"/>
  <c r="Q7" i="2" s="1"/>
  <c r="Q8" i="2" s="1"/>
  <c r="P6" i="2"/>
  <c r="P7" i="2" s="1"/>
  <c r="P8" i="2" s="1"/>
  <c r="O6" i="2"/>
  <c r="O7" i="2" s="1"/>
  <c r="O8" i="2" s="1"/>
  <c r="N6" i="2"/>
  <c r="N7" i="2" s="1"/>
  <c r="N8" i="2" s="1"/>
  <c r="M6" i="2"/>
  <c r="M7" i="2" s="1"/>
  <c r="M8" i="2" s="1"/>
  <c r="L6" i="2"/>
  <c r="L7" i="2" s="1"/>
  <c r="L8" i="2" s="1"/>
  <c r="K6" i="2"/>
  <c r="K7" i="2" s="1"/>
  <c r="K8" i="2" s="1"/>
  <c r="J6" i="2"/>
  <c r="J7" i="2" s="1"/>
  <c r="J8" i="2" s="1"/>
  <c r="I6" i="2"/>
  <c r="I7" i="2" s="1"/>
  <c r="I8" i="2" s="1"/>
  <c r="H6" i="2"/>
  <c r="H7" i="2" s="1"/>
  <c r="H8" i="2" s="1"/>
  <c r="G6" i="2"/>
  <c r="G7" i="2" s="1"/>
  <c r="G8" i="2" s="1"/>
  <c r="F6" i="2"/>
  <c r="F7" i="2" s="1"/>
  <c r="F8" i="2" s="1"/>
  <c r="E6" i="2"/>
  <c r="E7" i="2" s="1"/>
  <c r="E8" i="2" s="1"/>
  <c r="D6" i="2"/>
  <c r="D7" i="2" s="1"/>
  <c r="D8" i="2" s="1"/>
  <c r="C6" i="2"/>
  <c r="C7" i="2" s="1"/>
  <c r="C8" i="2" s="1"/>
  <c r="B6" i="2"/>
  <c r="B7" i="2" s="1"/>
  <c r="B8" i="2" s="1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L7" i="3" s="1"/>
  <c r="L8" i="3" s="1"/>
  <c r="K6" i="3"/>
  <c r="K7" i="3" s="1"/>
  <c r="K8" i="3" s="1"/>
  <c r="J6" i="3"/>
  <c r="J7" i="3" s="1"/>
  <c r="J8" i="3" s="1"/>
  <c r="I6" i="3"/>
  <c r="I7" i="3" s="1"/>
  <c r="I8" i="3" s="1"/>
  <c r="H6" i="3"/>
  <c r="H7" i="3" s="1"/>
  <c r="H8" i="3" s="1"/>
  <c r="G6" i="3"/>
  <c r="G7" i="3" s="1"/>
  <c r="G8" i="3" s="1"/>
  <c r="F6" i="3"/>
  <c r="F7" i="3" s="1"/>
  <c r="F8" i="3" s="1"/>
  <c r="E6" i="3"/>
  <c r="E7" i="3" s="1"/>
  <c r="E8" i="3" s="1"/>
  <c r="D6" i="3"/>
  <c r="D7" i="3" s="1"/>
  <c r="D8" i="3" s="1"/>
  <c r="C6" i="3"/>
  <c r="C7" i="3" s="1"/>
  <c r="C8" i="3" s="1"/>
  <c r="B6" i="3"/>
  <c r="B7" i="3" s="1"/>
  <c r="B8" i="3" s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W7" i="1" s="1"/>
  <c r="W8" i="1" s="1"/>
  <c r="X6" i="1"/>
  <c r="Y6" i="1"/>
  <c r="Y7" i="1" s="1"/>
  <c r="Y8" i="1" s="1"/>
  <c r="Z6" i="1"/>
  <c r="AA6" i="1"/>
  <c r="AB6" i="1"/>
  <c r="AB7" i="1" s="1"/>
  <c r="AB8" i="1" s="1"/>
  <c r="AC6" i="1"/>
  <c r="AC7" i="1" s="1"/>
  <c r="AC8" i="1" s="1"/>
  <c r="AD6" i="1"/>
  <c r="AD7" i="1" s="1"/>
  <c r="AD8" i="1" s="1"/>
  <c r="AE6" i="1"/>
  <c r="AE7" i="1" s="1"/>
  <c r="AE8" i="1" s="1"/>
  <c r="AF6" i="1"/>
  <c r="AF7" i="1" s="1"/>
  <c r="AF8" i="1" s="1"/>
  <c r="B6" i="1"/>
  <c r="AC8" i="2"/>
  <c r="AB8" i="2"/>
  <c r="AA8" i="2"/>
  <c r="AF7" i="2"/>
  <c r="AF8" i="2" s="1"/>
  <c r="AC7" i="2"/>
  <c r="AB7" i="2"/>
  <c r="AA7" i="2"/>
  <c r="Z7" i="2"/>
  <c r="Z8" i="2" s="1"/>
  <c r="Y7" i="2"/>
  <c r="Y8" i="2" s="1"/>
  <c r="X7" i="2"/>
  <c r="X8" i="2" s="1"/>
  <c r="W7" i="2"/>
  <c r="W8" i="2" s="1"/>
  <c r="V7" i="2"/>
  <c r="V8" i="2" s="1"/>
  <c r="U7" i="2"/>
  <c r="U8" i="2" s="1"/>
  <c r="AE7" i="2"/>
  <c r="AE8" i="2" s="1"/>
  <c r="AD7" i="2"/>
  <c r="AD8" i="2" s="1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AF7" i="3"/>
  <c r="AF8" i="3" s="1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P8" i="3" s="1"/>
  <c r="O7" i="3"/>
  <c r="O8" i="3" s="1"/>
  <c r="N7" i="3"/>
  <c r="N8" i="3" s="1"/>
  <c r="M7" i="3"/>
  <c r="M8" i="3" s="1"/>
  <c r="AE7" i="3"/>
  <c r="AE8" i="3" s="1"/>
  <c r="E7" i="1"/>
  <c r="E8" i="1" s="1"/>
  <c r="F7" i="1"/>
  <c r="F8" i="1" s="1"/>
  <c r="G7" i="1"/>
  <c r="G8" i="1" s="1"/>
  <c r="H7" i="1"/>
  <c r="H8" i="1" s="1"/>
  <c r="I7" i="1"/>
  <c r="I8" i="1" s="1"/>
  <c r="J7" i="1"/>
  <c r="J8" i="1" s="1"/>
  <c r="K7" i="1"/>
  <c r="K8" i="1" s="1"/>
  <c r="L7" i="1"/>
  <c r="L8" i="1" s="1"/>
  <c r="M7" i="1"/>
  <c r="M8" i="1" s="1"/>
  <c r="N7" i="1"/>
  <c r="N8" i="1" s="1"/>
  <c r="O7" i="1"/>
  <c r="O8" i="1" s="1"/>
  <c r="P7" i="1"/>
  <c r="P8" i="1" s="1"/>
  <c r="Q7" i="1"/>
  <c r="Q8" i="1" s="1"/>
  <c r="R7" i="1"/>
  <c r="R8" i="1" s="1"/>
  <c r="S7" i="1"/>
  <c r="S8" i="1" s="1"/>
  <c r="T7" i="1"/>
  <c r="T8" i="1" s="1"/>
  <c r="U7" i="1"/>
  <c r="U8" i="1" s="1"/>
  <c r="V7" i="1"/>
  <c r="V8" i="1" s="1"/>
  <c r="X7" i="1"/>
  <c r="X8" i="1" s="1"/>
  <c r="Z7" i="1"/>
  <c r="Z8" i="1" s="1"/>
  <c r="AA7" i="1"/>
  <c r="AA8" i="1" s="1"/>
  <c r="C7" i="1"/>
  <c r="C8" i="1" s="1"/>
  <c r="D7" i="1"/>
  <c r="D8" i="1" s="1"/>
  <c r="B7" i="1"/>
  <c r="B8" i="1" s="1"/>
  <c r="AF5" i="2"/>
  <c r="AF3" i="2"/>
  <c r="AF4" i="2"/>
  <c r="AF2" i="2"/>
  <c r="AF3" i="3"/>
  <c r="AF4" i="3"/>
  <c r="AF5" i="3"/>
  <c r="AF2" i="3"/>
  <c r="AF3" i="1"/>
  <c r="AF4" i="1"/>
  <c r="AF5" i="1"/>
  <c r="AF2" i="1"/>
</calcChain>
</file>

<file path=xl/sharedStrings.xml><?xml version="1.0" encoding="utf-8"?>
<sst xmlns="http://schemas.openxmlformats.org/spreadsheetml/2006/main" count="93" uniqueCount="31">
  <si>
    <t>北京</t>
    <phoneticPr fontId="3" type="noConversion"/>
  </si>
  <si>
    <t>天津</t>
    <phoneticPr fontId="3" type="noConversion"/>
  </si>
  <si>
    <t>上海</t>
    <phoneticPr fontId="3" type="noConversion"/>
  </si>
  <si>
    <t>重庆</t>
    <phoneticPr fontId="3" type="noConversion"/>
  </si>
  <si>
    <t>沈阳</t>
    <phoneticPr fontId="3" type="noConversion"/>
  </si>
  <si>
    <t>长春</t>
    <phoneticPr fontId="3" type="noConversion"/>
  </si>
  <si>
    <t>哈尔滨</t>
    <phoneticPr fontId="3" type="noConversion"/>
  </si>
  <si>
    <t>石家庄</t>
    <phoneticPr fontId="3" type="noConversion"/>
  </si>
  <si>
    <t>太原</t>
    <phoneticPr fontId="3" type="noConversion"/>
  </si>
  <si>
    <t>呼和浩特</t>
    <phoneticPr fontId="3" type="noConversion"/>
  </si>
  <si>
    <t>济南</t>
    <phoneticPr fontId="3" type="noConversion"/>
  </si>
  <si>
    <t>南京</t>
    <phoneticPr fontId="3" type="noConversion"/>
  </si>
  <si>
    <t>杭州</t>
    <phoneticPr fontId="3" type="noConversion"/>
  </si>
  <si>
    <t>合肥</t>
    <phoneticPr fontId="3" type="noConversion"/>
  </si>
  <si>
    <t>福州</t>
    <phoneticPr fontId="3" type="noConversion"/>
  </si>
  <si>
    <t>南昌</t>
    <phoneticPr fontId="3" type="noConversion"/>
  </si>
  <si>
    <t>郑州</t>
    <phoneticPr fontId="3" type="noConversion"/>
  </si>
  <si>
    <t>武汉</t>
    <phoneticPr fontId="3" type="noConversion"/>
  </si>
  <si>
    <t>长沙</t>
    <phoneticPr fontId="3" type="noConversion"/>
  </si>
  <si>
    <t>成都</t>
    <phoneticPr fontId="3" type="noConversion"/>
  </si>
  <si>
    <t>广州</t>
    <phoneticPr fontId="3" type="noConversion"/>
  </si>
  <si>
    <t>南宁</t>
    <phoneticPr fontId="3" type="noConversion"/>
  </si>
  <si>
    <t>海口</t>
    <phoneticPr fontId="3" type="noConversion"/>
  </si>
  <si>
    <t>贵阳</t>
    <phoneticPr fontId="3" type="noConversion"/>
  </si>
  <si>
    <t>昆明</t>
    <phoneticPr fontId="3" type="noConversion"/>
  </si>
  <si>
    <t>西安</t>
    <phoneticPr fontId="3" type="noConversion"/>
  </si>
  <si>
    <t>银川</t>
    <phoneticPr fontId="3" type="noConversion"/>
  </si>
  <si>
    <t>西宁</t>
    <phoneticPr fontId="3" type="noConversion"/>
  </si>
  <si>
    <t>兰州</t>
    <phoneticPr fontId="3" type="noConversion"/>
  </si>
  <si>
    <t>乌鲁木齐</t>
    <phoneticPr fontId="3" type="noConversion"/>
  </si>
  <si>
    <t>拉萨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</si>
</sst>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Arial"/>
      <family val="2"/>
    </font>
    <font>
      <sz val="11"/>
      <color theme="1"/>
      <name val="宋体"/>
      <family val="2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A9D08E"/>
        <bgColor rgb="FFF8CBA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>
      <alignment horizontal="center"/>
    </xf>
    <xf numFmtId="0" fontId="1" fillId="3" borderId="1">
      <alignment horizontal="center"/>
    </xf>
  </cellStyleXfs>
  <cellXfs count="2">
    <xf numFmtId="0" fontId="0" fillId="0" borderId="0" xfId="0"/>
    <xf numFmtId="0" fontId="2" fillId="2" borderId="1" xfId="1" applyFont="1">
      <alignment horizontal="center"/>
    </xf>
  </cellXfs>
  <cellStyles count="3">
    <cellStyle name="常规" xfId="0" builtinId="0"/>
    <cellStyle name="给定参数及中间量" xfId="1" xr:uid="{229DC3F1-8BFC-4B36-891B-83DC8E86C0B4}"/>
    <cellStyle name="绿" xfId="2" xr:uid="{144207D4-C84B-4DAA-A62D-D705510583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"/>
  <sheetViews>
    <sheetView tabSelected="1" topLeftCell="Q1" workbookViewId="0">
      <selection activeCell="W4" sqref="W4"/>
    </sheetView>
  </sheetViews>
  <sheetFormatPr defaultRowHeight="14.15" x14ac:dyDescent="0.35"/>
  <sheetData>
    <row r="1" spans="1:32" ht="14.6" x14ac:dyDescent="0.35">
      <c r="B1" s="1" t="s">
        <v>4</v>
      </c>
      <c r="C1" s="1" t="s">
        <v>5</v>
      </c>
      <c r="D1" s="1" t="s">
        <v>6</v>
      </c>
      <c r="E1" s="1" t="s">
        <v>0</v>
      </c>
      <c r="F1" s="1" t="s">
        <v>1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2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3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28</v>
      </c>
      <c r="AC1" s="1" t="s">
        <v>27</v>
      </c>
      <c r="AD1" s="1" t="s">
        <v>26</v>
      </c>
      <c r="AE1" s="1" t="s">
        <v>29</v>
      </c>
      <c r="AF1" s="1" t="s">
        <v>30</v>
      </c>
    </row>
    <row r="2" spans="1:32" x14ac:dyDescent="0.35">
      <c r="A2">
        <v>2020</v>
      </c>
      <c r="B2">
        <v>0.91</v>
      </c>
      <c r="C2">
        <v>0.83899999999999997</v>
      </c>
      <c r="D2">
        <v>0.81399999999999995</v>
      </c>
      <c r="E2">
        <v>0.61499999999999999</v>
      </c>
      <c r="F2">
        <v>0.84099999999999997</v>
      </c>
      <c r="G2">
        <v>1.0920000000000001</v>
      </c>
      <c r="H2">
        <v>0.84099999999999997</v>
      </c>
      <c r="I2">
        <v>1</v>
      </c>
      <c r="J2">
        <v>0.74199999999999999</v>
      </c>
      <c r="K2">
        <v>0.54800000000000004</v>
      </c>
      <c r="L2">
        <v>0.69499999999999995</v>
      </c>
      <c r="M2">
        <v>0.53200000000000003</v>
      </c>
      <c r="N2">
        <v>0.76300000000000001</v>
      </c>
      <c r="O2">
        <v>0.48899999999999999</v>
      </c>
      <c r="P2">
        <v>0.61599999999999999</v>
      </c>
      <c r="Q2">
        <v>0.73799999999999999</v>
      </c>
      <c r="R2">
        <v>0.316</v>
      </c>
      <c r="S2">
        <v>0.48699999999999999</v>
      </c>
      <c r="T2">
        <v>0.432</v>
      </c>
      <c r="U2">
        <v>0.11700000000000001</v>
      </c>
      <c r="V2">
        <v>0.44500000000000001</v>
      </c>
      <c r="W2">
        <v>0.52600000000000002</v>
      </c>
      <c r="X2">
        <v>0.45900000000000002</v>
      </c>
      <c r="Y2">
        <v>0.42</v>
      </c>
      <c r="Z2">
        <v>0.14599999999999999</v>
      </c>
      <c r="AA2">
        <v>0.64100000000000001</v>
      </c>
      <c r="AB2">
        <v>0.46</v>
      </c>
      <c r="AC2">
        <v>9.5000000000000001E-2</v>
      </c>
      <c r="AD2">
        <v>0.872</v>
      </c>
      <c r="AE2">
        <v>0.749</v>
      </c>
      <c r="AF2">
        <f>AVERAGE(AA2:AE2)</f>
        <v>0.56340000000000001</v>
      </c>
    </row>
    <row r="3" spans="1:32" x14ac:dyDescent="0.35">
      <c r="A3">
        <v>2025</v>
      </c>
      <c r="B3">
        <v>0.52800000000000002</v>
      </c>
      <c r="C3">
        <v>0.55900000000000005</v>
      </c>
      <c r="D3">
        <v>0.64800000000000002</v>
      </c>
      <c r="E3">
        <v>0.57299999999999995</v>
      </c>
      <c r="F3">
        <v>0.66800000000000004</v>
      </c>
      <c r="G3">
        <v>0.71399999999999997</v>
      </c>
      <c r="H3">
        <v>0.69</v>
      </c>
      <c r="I3">
        <v>0.79100000000000004</v>
      </c>
      <c r="J3">
        <v>0.53600000000000003</v>
      </c>
      <c r="K3">
        <v>0.32100000000000001</v>
      </c>
      <c r="L3">
        <v>0.57899999999999996</v>
      </c>
      <c r="M3">
        <v>0.41199999999999998</v>
      </c>
      <c r="N3">
        <v>0.72499999999999998</v>
      </c>
      <c r="O3">
        <v>0.34599999999999997</v>
      </c>
      <c r="P3">
        <v>0.45100000000000001</v>
      </c>
      <c r="Q3">
        <v>0.55300000000000005</v>
      </c>
      <c r="R3">
        <v>0.307</v>
      </c>
      <c r="S3">
        <v>0.44700000000000001</v>
      </c>
      <c r="T3">
        <v>0.23100000000000001</v>
      </c>
      <c r="U3">
        <v>0.10299999999999999</v>
      </c>
      <c r="V3">
        <v>0.35899999999999999</v>
      </c>
      <c r="W3">
        <v>0.317</v>
      </c>
      <c r="X3">
        <v>0.312</v>
      </c>
      <c r="Y3">
        <v>0.39300000000000002</v>
      </c>
      <c r="Z3">
        <v>9.2999999999999999E-2</v>
      </c>
      <c r="AA3">
        <v>0.53300000000000003</v>
      </c>
      <c r="AB3">
        <v>0.433</v>
      </c>
      <c r="AC3">
        <v>4.8000000000000001E-2</v>
      </c>
      <c r="AD3">
        <v>0.70299999999999996</v>
      </c>
      <c r="AE3">
        <v>0.60099999999999998</v>
      </c>
      <c r="AF3">
        <f t="shared" ref="AF3:AF5" si="0">AVERAGE(AA3:AE3)</f>
        <v>0.46360000000000001</v>
      </c>
    </row>
    <row r="4" spans="1:32" x14ac:dyDescent="0.35">
      <c r="A4">
        <v>2030</v>
      </c>
      <c r="B4">
        <v>0.432</v>
      </c>
      <c r="C4">
        <v>0.38400000000000001</v>
      </c>
      <c r="D4">
        <v>0.59</v>
      </c>
      <c r="E4">
        <v>0.47599999999999998</v>
      </c>
      <c r="F4">
        <v>0.53</v>
      </c>
      <c r="G4">
        <v>0.66600000000000004</v>
      </c>
      <c r="H4">
        <v>0.68400000000000005</v>
      </c>
      <c r="I4">
        <v>0.78300000000000003</v>
      </c>
      <c r="J4">
        <v>0.48899999999999999</v>
      </c>
      <c r="K4">
        <v>0.312</v>
      </c>
      <c r="L4">
        <v>0.48899999999999999</v>
      </c>
      <c r="M4">
        <v>0.38100000000000001</v>
      </c>
      <c r="N4">
        <v>0.65</v>
      </c>
      <c r="O4">
        <v>0.32200000000000001</v>
      </c>
      <c r="P4">
        <v>0.41399999999999998</v>
      </c>
      <c r="Q4">
        <v>0.46200000000000002</v>
      </c>
      <c r="R4">
        <v>0.247</v>
      </c>
      <c r="S4">
        <v>0.39700000000000002</v>
      </c>
      <c r="T4">
        <v>0.193</v>
      </c>
      <c r="U4">
        <v>7.2999999999999995E-2</v>
      </c>
      <c r="V4">
        <v>0.318</v>
      </c>
      <c r="W4">
        <v>0.316</v>
      </c>
      <c r="X4">
        <v>0.188</v>
      </c>
      <c r="Y4">
        <v>0.26</v>
      </c>
      <c r="Z4">
        <v>0.05</v>
      </c>
      <c r="AA4">
        <v>0.52800000000000002</v>
      </c>
      <c r="AB4">
        <v>0.39100000000000001</v>
      </c>
      <c r="AC4">
        <v>2.7E-2</v>
      </c>
      <c r="AD4">
        <v>0.64300000000000002</v>
      </c>
      <c r="AE4">
        <v>0.59499999999999997</v>
      </c>
      <c r="AF4">
        <f t="shared" si="0"/>
        <v>0.43680000000000002</v>
      </c>
    </row>
    <row r="5" spans="1:32" x14ac:dyDescent="0.35">
      <c r="A5">
        <v>2035</v>
      </c>
      <c r="B5">
        <v>0.34200000000000003</v>
      </c>
      <c r="C5">
        <v>0.21</v>
      </c>
      <c r="D5">
        <v>0.46700000000000003</v>
      </c>
      <c r="E5">
        <v>0.20799999999999999</v>
      </c>
      <c r="F5">
        <v>0.41299999999999998</v>
      </c>
      <c r="G5">
        <v>0.51200000000000001</v>
      </c>
      <c r="H5">
        <v>0.58299999999999996</v>
      </c>
      <c r="I5">
        <v>0.66500000000000004</v>
      </c>
      <c r="J5">
        <v>0.36</v>
      </c>
      <c r="K5">
        <v>0.25900000000000001</v>
      </c>
      <c r="L5">
        <v>0.38600000000000001</v>
      </c>
      <c r="M5">
        <v>0.28899999999999998</v>
      </c>
      <c r="N5">
        <v>0.54600000000000004</v>
      </c>
      <c r="O5">
        <v>0.26600000000000001</v>
      </c>
      <c r="P5">
        <v>0.33400000000000002</v>
      </c>
      <c r="Q5">
        <v>0.35599999999999998</v>
      </c>
      <c r="R5">
        <v>0.19</v>
      </c>
      <c r="S5">
        <v>0.3</v>
      </c>
      <c r="T5">
        <v>0.13100000000000001</v>
      </c>
      <c r="U5">
        <v>0.04</v>
      </c>
      <c r="V5">
        <v>0.26900000000000002</v>
      </c>
      <c r="W5">
        <v>0.26</v>
      </c>
      <c r="X5">
        <v>0.11</v>
      </c>
      <c r="Y5">
        <v>0.14599999999999999</v>
      </c>
      <c r="Z5">
        <v>2.1999999999999999E-2</v>
      </c>
      <c r="AA5">
        <v>0.44600000000000001</v>
      </c>
      <c r="AB5">
        <v>0.223</v>
      </c>
      <c r="AC5">
        <v>0.01</v>
      </c>
      <c r="AD5">
        <v>0.45200000000000001</v>
      </c>
      <c r="AE5">
        <v>0.51600000000000001</v>
      </c>
      <c r="AF5">
        <f t="shared" si="0"/>
        <v>0.32940000000000003</v>
      </c>
    </row>
    <row r="6" spans="1:32" x14ac:dyDescent="0.35">
      <c r="A6">
        <v>2040</v>
      </c>
      <c r="B6">
        <f>IF(B4/405*280&lt;B5,B4/405*280,B5*0.9)</f>
        <v>0.29866666666666669</v>
      </c>
      <c r="C6">
        <f t="shared" ref="C6:AF6" si="1">IF(C4/405*280&lt;C5,C4/405*280,C5*0.9)</f>
        <v>0.189</v>
      </c>
      <c r="D6">
        <f t="shared" si="1"/>
        <v>0.40790123456790123</v>
      </c>
      <c r="E6">
        <f t="shared" si="1"/>
        <v>0.18720000000000001</v>
      </c>
      <c r="F6">
        <f t="shared" si="1"/>
        <v>0.36641975308641972</v>
      </c>
      <c r="G6">
        <f t="shared" si="1"/>
        <v>0.46044444444444443</v>
      </c>
      <c r="H6">
        <f t="shared" si="1"/>
        <v>0.47288888888888891</v>
      </c>
      <c r="I6">
        <f t="shared" si="1"/>
        <v>0.54133333333333333</v>
      </c>
      <c r="J6">
        <f t="shared" si="1"/>
        <v>0.33807407407407408</v>
      </c>
      <c r="K6">
        <f t="shared" si="1"/>
        <v>0.2157037037037037</v>
      </c>
      <c r="L6">
        <f t="shared" si="1"/>
        <v>0.33807407407407408</v>
      </c>
      <c r="M6">
        <f t="shared" si="1"/>
        <v>0.26340740740740742</v>
      </c>
      <c r="N6">
        <f t="shared" si="1"/>
        <v>0.44938271604938274</v>
      </c>
      <c r="O6">
        <f t="shared" si="1"/>
        <v>0.22261728395061728</v>
      </c>
      <c r="P6">
        <f t="shared" si="1"/>
        <v>0.28622222222222221</v>
      </c>
      <c r="Q6">
        <f t="shared" si="1"/>
        <v>0.31940740740740742</v>
      </c>
      <c r="R6">
        <f t="shared" si="1"/>
        <v>0.17076543209876544</v>
      </c>
      <c r="S6">
        <f t="shared" si="1"/>
        <v>0.27446913580246918</v>
      </c>
      <c r="T6">
        <f t="shared" si="1"/>
        <v>0.1179</v>
      </c>
      <c r="U6">
        <f t="shared" si="1"/>
        <v>3.6000000000000004E-2</v>
      </c>
      <c r="V6">
        <f t="shared" si="1"/>
        <v>0.21985185185185185</v>
      </c>
      <c r="W6">
        <f t="shared" si="1"/>
        <v>0.21846913580246913</v>
      </c>
      <c r="X6">
        <f t="shared" si="1"/>
        <v>9.9000000000000005E-2</v>
      </c>
      <c r="Y6">
        <f t="shared" si="1"/>
        <v>0.13139999999999999</v>
      </c>
      <c r="Z6">
        <f t="shared" si="1"/>
        <v>1.9799999999999998E-2</v>
      </c>
      <c r="AA6">
        <f t="shared" si="1"/>
        <v>0.36503703703703705</v>
      </c>
      <c r="AB6">
        <f t="shared" si="1"/>
        <v>0.20070000000000002</v>
      </c>
      <c r="AC6">
        <f t="shared" si="1"/>
        <v>9.0000000000000011E-3</v>
      </c>
      <c r="AD6">
        <f t="shared" si="1"/>
        <v>0.44454320987654322</v>
      </c>
      <c r="AE6">
        <f t="shared" si="1"/>
        <v>0.41135802469135802</v>
      </c>
      <c r="AF6">
        <f t="shared" si="1"/>
        <v>0.30198518518518519</v>
      </c>
    </row>
    <row r="7" spans="1:32" x14ac:dyDescent="0.35">
      <c r="A7">
        <v>2050</v>
      </c>
      <c r="B7">
        <f>B6/280*195</f>
        <v>0.20800000000000002</v>
      </c>
      <c r="C7">
        <f t="shared" ref="C7:AF7" si="2">C6/280*195</f>
        <v>0.13162500000000002</v>
      </c>
      <c r="D7">
        <f t="shared" si="2"/>
        <v>0.28407407407407403</v>
      </c>
      <c r="E7">
        <f t="shared" si="2"/>
        <v>0.13037142857142858</v>
      </c>
      <c r="F7">
        <f t="shared" si="2"/>
        <v>0.25518518518518518</v>
      </c>
      <c r="G7">
        <f t="shared" si="2"/>
        <v>0.32066666666666666</v>
      </c>
      <c r="H7">
        <f t="shared" si="2"/>
        <v>0.32933333333333337</v>
      </c>
      <c r="I7">
        <f t="shared" si="2"/>
        <v>0.377</v>
      </c>
      <c r="J7">
        <f t="shared" si="2"/>
        <v>0.23544444444444446</v>
      </c>
      <c r="K7">
        <f t="shared" si="2"/>
        <v>0.15022222222222223</v>
      </c>
      <c r="L7">
        <f t="shared" si="2"/>
        <v>0.23544444444444446</v>
      </c>
      <c r="M7">
        <f t="shared" si="2"/>
        <v>0.18344444444444447</v>
      </c>
      <c r="N7">
        <f t="shared" si="2"/>
        <v>0.312962962962963</v>
      </c>
      <c r="O7">
        <f t="shared" si="2"/>
        <v>0.15503703703703703</v>
      </c>
      <c r="P7">
        <f t="shared" si="2"/>
        <v>0.19933333333333331</v>
      </c>
      <c r="Q7">
        <f t="shared" si="2"/>
        <v>0.22244444444444444</v>
      </c>
      <c r="R7">
        <f t="shared" si="2"/>
        <v>0.11892592592592593</v>
      </c>
      <c r="S7">
        <f t="shared" si="2"/>
        <v>0.19114814814814815</v>
      </c>
      <c r="T7">
        <f t="shared" si="2"/>
        <v>8.2108928571428569E-2</v>
      </c>
      <c r="U7">
        <f t="shared" si="2"/>
        <v>2.5071428571428571E-2</v>
      </c>
      <c r="V7">
        <f t="shared" si="2"/>
        <v>0.15311111111111111</v>
      </c>
      <c r="W7">
        <f t="shared" si="2"/>
        <v>0.15214814814814814</v>
      </c>
      <c r="X7">
        <f t="shared" si="2"/>
        <v>6.8946428571428575E-2</v>
      </c>
      <c r="Y7">
        <f t="shared" si="2"/>
        <v>9.1510714285714279E-2</v>
      </c>
      <c r="Z7">
        <f t="shared" si="2"/>
        <v>1.3789285714285714E-2</v>
      </c>
      <c r="AA7">
        <f t="shared" si="2"/>
        <v>0.25422222222222224</v>
      </c>
      <c r="AB7">
        <f t="shared" si="2"/>
        <v>0.13977321428571432</v>
      </c>
      <c r="AC7">
        <f t="shared" si="2"/>
        <v>6.2678571428571427E-3</v>
      </c>
      <c r="AD7">
        <f t="shared" si="2"/>
        <v>0.30959259259259259</v>
      </c>
      <c r="AE7">
        <f t="shared" si="2"/>
        <v>0.28648148148148145</v>
      </c>
      <c r="AF7">
        <f t="shared" si="2"/>
        <v>0.21031111111111112</v>
      </c>
    </row>
    <row r="8" spans="1:32" x14ac:dyDescent="0.35">
      <c r="A8">
        <v>2060</v>
      </c>
      <c r="B8">
        <f>B7/195*150</f>
        <v>0.16</v>
      </c>
      <c r="C8">
        <f t="shared" ref="C8:AE8" si="3">C7/195*150</f>
        <v>0.10125000000000002</v>
      </c>
      <c r="D8">
        <f t="shared" si="3"/>
        <v>0.21851851851851847</v>
      </c>
      <c r="E8">
        <f t="shared" si="3"/>
        <v>0.1002857142857143</v>
      </c>
      <c r="F8">
        <f t="shared" si="3"/>
        <v>0.1962962962962963</v>
      </c>
      <c r="G8">
        <f t="shared" si="3"/>
        <v>0.24666666666666667</v>
      </c>
      <c r="H8">
        <f t="shared" si="3"/>
        <v>0.25333333333333335</v>
      </c>
      <c r="I8">
        <f t="shared" si="3"/>
        <v>0.28999999999999998</v>
      </c>
      <c r="J8">
        <f t="shared" si="3"/>
        <v>0.18111111111111111</v>
      </c>
      <c r="K8">
        <f t="shared" si="3"/>
        <v>0.11555555555555555</v>
      </c>
      <c r="L8">
        <f t="shared" si="3"/>
        <v>0.18111111111111111</v>
      </c>
      <c r="M8">
        <f t="shared" si="3"/>
        <v>0.14111111111111113</v>
      </c>
      <c r="N8">
        <f t="shared" si="3"/>
        <v>0.24074074074074076</v>
      </c>
      <c r="O8">
        <f t="shared" si="3"/>
        <v>0.11925925925925926</v>
      </c>
      <c r="P8">
        <f t="shared" si="3"/>
        <v>0.15333333333333332</v>
      </c>
      <c r="Q8">
        <f t="shared" si="3"/>
        <v>0.1711111111111111</v>
      </c>
      <c r="R8">
        <f t="shared" si="3"/>
        <v>9.1481481481481483E-2</v>
      </c>
      <c r="S8">
        <f t="shared" si="3"/>
        <v>0.14703703703703705</v>
      </c>
      <c r="T8">
        <f t="shared" si="3"/>
        <v>6.3160714285714292E-2</v>
      </c>
      <c r="U8">
        <f t="shared" si="3"/>
        <v>1.9285714285714288E-2</v>
      </c>
      <c r="V8">
        <f t="shared" si="3"/>
        <v>0.11777777777777779</v>
      </c>
      <c r="W8">
        <f t="shared" si="3"/>
        <v>0.11703703703703704</v>
      </c>
      <c r="X8">
        <f t="shared" si="3"/>
        <v>5.3035714285714283E-2</v>
      </c>
      <c r="Y8">
        <f t="shared" si="3"/>
        <v>7.0392857142857132E-2</v>
      </c>
      <c r="Z8">
        <f t="shared" si="3"/>
        <v>1.0607142857142857E-2</v>
      </c>
      <c r="AA8">
        <f t="shared" si="3"/>
        <v>0.19555555555555557</v>
      </c>
      <c r="AB8">
        <f t="shared" si="3"/>
        <v>0.10751785714285718</v>
      </c>
      <c r="AC8">
        <f t="shared" si="3"/>
        <v>4.821428571428572E-3</v>
      </c>
      <c r="AD8">
        <f t="shared" si="3"/>
        <v>0.23814814814814814</v>
      </c>
      <c r="AE8">
        <f t="shared" si="3"/>
        <v>0.22037037037037036</v>
      </c>
      <c r="AF8">
        <f>AF7/195*150</f>
        <v>0.1617777777777778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EA42A-01C4-4890-8DD7-8A87C0D5E7C1}">
  <dimension ref="A1:AF8"/>
  <sheetViews>
    <sheetView workbookViewId="0">
      <selection activeCell="B6" sqref="B6:AF6"/>
    </sheetView>
  </sheetViews>
  <sheetFormatPr defaultRowHeight="14.15" x14ac:dyDescent="0.35"/>
  <sheetData>
    <row r="1" spans="1:32" ht="14.6" x14ac:dyDescent="0.35">
      <c r="B1" s="1" t="s">
        <v>4</v>
      </c>
      <c r="C1" s="1" t="s">
        <v>5</v>
      </c>
      <c r="D1" s="1" t="s">
        <v>6</v>
      </c>
      <c r="E1" s="1" t="s">
        <v>0</v>
      </c>
      <c r="F1" s="1" t="s">
        <v>1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2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3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28</v>
      </c>
      <c r="AC1" s="1" t="s">
        <v>27</v>
      </c>
      <c r="AD1" s="1" t="s">
        <v>26</v>
      </c>
      <c r="AE1" s="1" t="s">
        <v>29</v>
      </c>
      <c r="AF1" s="1" t="s">
        <v>30</v>
      </c>
    </row>
    <row r="2" spans="1:32" x14ac:dyDescent="0.35">
      <c r="A2">
        <v>2020</v>
      </c>
      <c r="B2">
        <v>0.91</v>
      </c>
      <c r="C2">
        <v>0.83899999999999997</v>
      </c>
      <c r="D2">
        <v>0.81399999999999995</v>
      </c>
      <c r="E2">
        <v>0.61499999999999999</v>
      </c>
      <c r="F2">
        <v>0.84099999999999997</v>
      </c>
      <c r="G2">
        <v>1.0920000000000001</v>
      </c>
      <c r="H2">
        <v>0.84099999999999997</v>
      </c>
      <c r="I2">
        <v>1</v>
      </c>
      <c r="J2">
        <v>0.74199999999999999</v>
      </c>
      <c r="K2">
        <v>0.54800000000000004</v>
      </c>
      <c r="L2">
        <v>0.69499999999999995</v>
      </c>
      <c r="M2">
        <v>0.53200000000000003</v>
      </c>
      <c r="N2">
        <v>0.76300000000000001</v>
      </c>
      <c r="O2">
        <v>0.48899999999999999</v>
      </c>
      <c r="P2">
        <v>0.61599999999999999</v>
      </c>
      <c r="Q2">
        <v>0.73799999999999999</v>
      </c>
      <c r="R2">
        <v>0.316</v>
      </c>
      <c r="S2">
        <v>0.48699999999999999</v>
      </c>
      <c r="T2">
        <v>0.432</v>
      </c>
      <c r="U2">
        <v>0.11700000000000001</v>
      </c>
      <c r="V2">
        <v>0.44500000000000001</v>
      </c>
      <c r="W2">
        <v>0.52600000000000002</v>
      </c>
      <c r="X2">
        <v>0.45900000000000002</v>
      </c>
      <c r="Y2">
        <v>0.42</v>
      </c>
      <c r="Z2">
        <v>0.14599999999999999</v>
      </c>
      <c r="AA2">
        <v>0.64100000000000001</v>
      </c>
      <c r="AB2">
        <v>0.46</v>
      </c>
      <c r="AC2">
        <v>9.5000000000000001E-2</v>
      </c>
      <c r="AD2">
        <v>0.872</v>
      </c>
      <c r="AE2">
        <v>0.749</v>
      </c>
      <c r="AF2">
        <f>AVERAGE(AA2:AE2)</f>
        <v>0.56340000000000001</v>
      </c>
    </row>
    <row r="3" spans="1:32" x14ac:dyDescent="0.35">
      <c r="A3">
        <v>2025</v>
      </c>
      <c r="B3">
        <v>0.57799999999999996</v>
      </c>
      <c r="C3">
        <v>0.56399999999999995</v>
      </c>
      <c r="D3">
        <v>0.65400000000000003</v>
      </c>
      <c r="E3">
        <v>0.59499999999999997</v>
      </c>
      <c r="F3">
        <v>0.68799999999999994</v>
      </c>
      <c r="G3">
        <v>0.73599999999999999</v>
      </c>
      <c r="H3">
        <v>0.70699999999999996</v>
      </c>
      <c r="I3">
        <v>0.8</v>
      </c>
      <c r="J3">
        <v>0.54600000000000004</v>
      </c>
      <c r="K3">
        <v>0.33300000000000002</v>
      </c>
      <c r="L3">
        <v>0.60099999999999998</v>
      </c>
      <c r="M3">
        <v>0.41799999999999998</v>
      </c>
      <c r="N3">
        <v>0.755</v>
      </c>
      <c r="O3">
        <v>0.36299999999999999</v>
      </c>
      <c r="P3">
        <v>0.47399999999999998</v>
      </c>
      <c r="Q3">
        <v>0.59899999999999998</v>
      </c>
      <c r="R3">
        <v>0.31</v>
      </c>
      <c r="S3">
        <v>0.45300000000000001</v>
      </c>
      <c r="T3">
        <v>0.36299999999999999</v>
      </c>
      <c r="U3">
        <v>0.104</v>
      </c>
      <c r="V3">
        <v>0.36899999999999999</v>
      </c>
      <c r="W3">
        <v>0.33600000000000002</v>
      </c>
      <c r="X3">
        <v>0.32600000000000001</v>
      </c>
      <c r="Y3">
        <v>0.39800000000000002</v>
      </c>
      <c r="Z3">
        <v>0.1</v>
      </c>
      <c r="AA3">
        <v>0.60699999999999998</v>
      </c>
      <c r="AB3">
        <v>0.443</v>
      </c>
      <c r="AC3">
        <v>6.7000000000000004E-2</v>
      </c>
      <c r="AD3">
        <v>0.72399999999999998</v>
      </c>
      <c r="AE3">
        <v>0.72</v>
      </c>
      <c r="AF3">
        <f t="shared" ref="AF3:AF5" si="0">AVERAGE(AA3:AE3)</f>
        <v>0.51219999999999999</v>
      </c>
    </row>
    <row r="4" spans="1:32" x14ac:dyDescent="0.35">
      <c r="A4">
        <v>2030</v>
      </c>
      <c r="B4">
        <v>0.496</v>
      </c>
      <c r="C4">
        <v>0.43</v>
      </c>
      <c r="D4">
        <v>0.59899999999999998</v>
      </c>
      <c r="E4">
        <v>0.51900000000000002</v>
      </c>
      <c r="F4">
        <v>0.53600000000000003</v>
      </c>
      <c r="G4">
        <v>0.68300000000000005</v>
      </c>
      <c r="H4">
        <v>0.7</v>
      </c>
      <c r="I4">
        <v>0.79200000000000004</v>
      </c>
      <c r="J4">
        <v>0.498</v>
      </c>
      <c r="K4">
        <v>0.32500000000000001</v>
      </c>
      <c r="L4">
        <v>0.51200000000000001</v>
      </c>
      <c r="M4">
        <v>0.38600000000000001</v>
      </c>
      <c r="N4">
        <v>0.69399999999999995</v>
      </c>
      <c r="O4">
        <v>0.33</v>
      </c>
      <c r="P4">
        <v>0.436</v>
      </c>
      <c r="Q4">
        <v>0.49</v>
      </c>
      <c r="R4">
        <v>0.254</v>
      </c>
      <c r="S4">
        <v>0.40899999999999997</v>
      </c>
      <c r="T4">
        <v>0.25600000000000001</v>
      </c>
      <c r="U4">
        <v>7.4999999999999997E-2</v>
      </c>
      <c r="V4">
        <v>0.33200000000000002</v>
      </c>
      <c r="W4">
        <v>0.33400000000000002</v>
      </c>
      <c r="X4">
        <v>0.224</v>
      </c>
      <c r="Y4">
        <v>0.27600000000000002</v>
      </c>
      <c r="Z4">
        <v>6.2E-2</v>
      </c>
      <c r="AA4">
        <v>0.60099999999999998</v>
      </c>
      <c r="AB4">
        <v>0.40699999999999997</v>
      </c>
      <c r="AC4">
        <v>3.2000000000000001E-2</v>
      </c>
      <c r="AD4">
        <v>0.66500000000000004</v>
      </c>
      <c r="AE4">
        <v>0.71299999999999997</v>
      </c>
      <c r="AF4">
        <f t="shared" si="0"/>
        <v>0.48360000000000003</v>
      </c>
    </row>
    <row r="5" spans="1:32" x14ac:dyDescent="0.35">
      <c r="A5">
        <v>2035</v>
      </c>
      <c r="B5">
        <v>0.371</v>
      </c>
      <c r="C5">
        <v>0.216</v>
      </c>
      <c r="D5">
        <v>0.504</v>
      </c>
      <c r="E5">
        <v>0.28899999999999998</v>
      </c>
      <c r="F5">
        <v>0.41799999999999998</v>
      </c>
      <c r="G5">
        <v>0.54400000000000004</v>
      </c>
      <c r="H5">
        <v>0.59799999999999998</v>
      </c>
      <c r="I5">
        <v>0.67300000000000004</v>
      </c>
      <c r="J5">
        <v>0.38300000000000001</v>
      </c>
      <c r="K5">
        <v>0.28100000000000003</v>
      </c>
      <c r="L5">
        <v>0.41099999999999998</v>
      </c>
      <c r="M5">
        <v>0.307</v>
      </c>
      <c r="N5">
        <v>0.59599999999999997</v>
      </c>
      <c r="O5">
        <v>0.27</v>
      </c>
      <c r="P5">
        <v>0.35399999999999998</v>
      </c>
      <c r="Q5">
        <v>0.38900000000000001</v>
      </c>
      <c r="R5">
        <v>0.20200000000000001</v>
      </c>
      <c r="S5">
        <v>0.312</v>
      </c>
      <c r="T5">
        <v>0.17899999999999999</v>
      </c>
      <c r="U5">
        <v>0.04</v>
      </c>
      <c r="V5">
        <v>0.27600000000000002</v>
      </c>
      <c r="W5">
        <v>0.27900000000000003</v>
      </c>
      <c r="X5">
        <v>0.115</v>
      </c>
      <c r="Y5">
        <v>0.20399999999999999</v>
      </c>
      <c r="Z5">
        <v>2.5000000000000001E-2</v>
      </c>
      <c r="AA5">
        <v>0.51500000000000001</v>
      </c>
      <c r="AB5">
        <v>0.27900000000000003</v>
      </c>
      <c r="AC5">
        <v>0.01</v>
      </c>
      <c r="AD5">
        <v>0.45900000000000002</v>
      </c>
      <c r="AE5">
        <v>0.57299999999999995</v>
      </c>
      <c r="AF5">
        <f t="shared" si="0"/>
        <v>0.36720000000000003</v>
      </c>
    </row>
    <row r="6" spans="1:32" x14ac:dyDescent="0.35">
      <c r="A6">
        <v>2040</v>
      </c>
      <c r="B6">
        <f>IF(B4/405*280&lt;B5,B4/405*280,B5*0.9)</f>
        <v>0.34291358024691354</v>
      </c>
      <c r="C6">
        <f t="shared" ref="C6:AF6" si="1">IF(C4/405*280&lt;C5,C4/405*280,C5*0.9)</f>
        <v>0.19439999999999999</v>
      </c>
      <c r="D6">
        <f t="shared" si="1"/>
        <v>0.41412345679012347</v>
      </c>
      <c r="E6">
        <f t="shared" si="1"/>
        <v>0.2601</v>
      </c>
      <c r="F6">
        <f t="shared" si="1"/>
        <v>0.37056790123456795</v>
      </c>
      <c r="G6">
        <f t="shared" si="1"/>
        <v>0.47219753086419752</v>
      </c>
      <c r="H6">
        <f t="shared" si="1"/>
        <v>0.48395061728395056</v>
      </c>
      <c r="I6">
        <f t="shared" si="1"/>
        <v>0.54755555555555557</v>
      </c>
      <c r="J6">
        <f t="shared" si="1"/>
        <v>0.34429629629629627</v>
      </c>
      <c r="K6">
        <f t="shared" si="1"/>
        <v>0.22469135802469137</v>
      </c>
      <c r="L6">
        <f t="shared" si="1"/>
        <v>0.35397530864197529</v>
      </c>
      <c r="M6">
        <f t="shared" si="1"/>
        <v>0.26686419753086421</v>
      </c>
      <c r="N6">
        <f t="shared" si="1"/>
        <v>0.47980246913580243</v>
      </c>
      <c r="O6">
        <f t="shared" si="1"/>
        <v>0.22814814814814816</v>
      </c>
      <c r="P6">
        <f t="shared" si="1"/>
        <v>0.30143209876543209</v>
      </c>
      <c r="Q6">
        <f t="shared" si="1"/>
        <v>0.33876543209876542</v>
      </c>
      <c r="R6">
        <f t="shared" si="1"/>
        <v>0.17560493827160492</v>
      </c>
      <c r="S6">
        <f t="shared" si="1"/>
        <v>0.28276543209876542</v>
      </c>
      <c r="T6">
        <f t="shared" si="1"/>
        <v>0.17698765432098765</v>
      </c>
      <c r="U6">
        <f t="shared" si="1"/>
        <v>3.6000000000000004E-2</v>
      </c>
      <c r="V6">
        <f t="shared" si="1"/>
        <v>0.22953086419753085</v>
      </c>
      <c r="W6">
        <f t="shared" si="1"/>
        <v>0.23091358024691358</v>
      </c>
      <c r="X6">
        <f t="shared" si="1"/>
        <v>0.10350000000000001</v>
      </c>
      <c r="Y6">
        <f t="shared" si="1"/>
        <v>0.19081481481481485</v>
      </c>
      <c r="Z6">
        <f t="shared" si="1"/>
        <v>2.2500000000000003E-2</v>
      </c>
      <c r="AA6">
        <f t="shared" si="1"/>
        <v>0.41550617283950614</v>
      </c>
      <c r="AB6">
        <f t="shared" si="1"/>
        <v>0.25110000000000005</v>
      </c>
      <c r="AC6">
        <f t="shared" si="1"/>
        <v>9.0000000000000011E-3</v>
      </c>
      <c r="AD6">
        <f t="shared" si="1"/>
        <v>0.41310000000000002</v>
      </c>
      <c r="AE6">
        <f t="shared" si="1"/>
        <v>0.49293827160493825</v>
      </c>
      <c r="AF6">
        <f t="shared" si="1"/>
        <v>0.33434074074074077</v>
      </c>
    </row>
    <row r="7" spans="1:32" x14ac:dyDescent="0.35">
      <c r="A7">
        <v>2050</v>
      </c>
      <c r="B7">
        <f>B6/280*195</f>
        <v>0.23881481481481479</v>
      </c>
      <c r="C7">
        <f t="shared" ref="C7:AF7" si="2">C6/280*195</f>
        <v>0.13538571428571428</v>
      </c>
      <c r="D7">
        <f>D6/280*195</f>
        <v>0.28840740740740739</v>
      </c>
      <c r="E7">
        <f t="shared" si="2"/>
        <v>0.18114107142857144</v>
      </c>
      <c r="F7">
        <f t="shared" si="2"/>
        <v>0.25807407407407407</v>
      </c>
      <c r="G7">
        <f t="shared" si="2"/>
        <v>0.32885185185185184</v>
      </c>
      <c r="H7">
        <f t="shared" si="2"/>
        <v>0.33703703703703702</v>
      </c>
      <c r="I7">
        <f t="shared" si="2"/>
        <v>0.3813333333333333</v>
      </c>
      <c r="J7">
        <f t="shared" si="2"/>
        <v>0.23977777777777776</v>
      </c>
      <c r="K7">
        <f t="shared" si="2"/>
        <v>0.1564814814814815</v>
      </c>
      <c r="L7">
        <f t="shared" si="2"/>
        <v>0.24651851851851853</v>
      </c>
      <c r="M7">
        <f t="shared" si="2"/>
        <v>0.18585185185185185</v>
      </c>
      <c r="N7">
        <f t="shared" si="2"/>
        <v>0.33414814814814814</v>
      </c>
      <c r="O7">
        <f t="shared" si="2"/>
        <v>0.15888888888888891</v>
      </c>
      <c r="P7">
        <f t="shared" si="2"/>
        <v>0.2099259259259259</v>
      </c>
      <c r="Q7">
        <f t="shared" si="2"/>
        <v>0.23592592592592593</v>
      </c>
      <c r="R7">
        <f t="shared" si="2"/>
        <v>0.12229629629629629</v>
      </c>
      <c r="S7">
        <f t="shared" si="2"/>
        <v>0.19692592592592589</v>
      </c>
      <c r="T7">
        <f t="shared" si="2"/>
        <v>0.12325925925925926</v>
      </c>
      <c r="U7">
        <f t="shared" si="2"/>
        <v>2.5071428571428571E-2</v>
      </c>
      <c r="V7">
        <f t="shared" si="2"/>
        <v>0.15985185185185186</v>
      </c>
      <c r="W7">
        <f t="shared" si="2"/>
        <v>0.16081481481481483</v>
      </c>
      <c r="X7">
        <f t="shared" si="2"/>
        <v>7.2080357142857154E-2</v>
      </c>
      <c r="Y7">
        <f t="shared" si="2"/>
        <v>0.13288888888888892</v>
      </c>
      <c r="Z7">
        <f t="shared" si="2"/>
        <v>1.5669642857142858E-2</v>
      </c>
      <c r="AA7">
        <f t="shared" si="2"/>
        <v>0.28937037037037033</v>
      </c>
      <c r="AB7">
        <f t="shared" si="2"/>
        <v>0.17487321428571431</v>
      </c>
      <c r="AC7">
        <f t="shared" si="2"/>
        <v>6.2678571428571427E-3</v>
      </c>
      <c r="AD7">
        <f t="shared" si="2"/>
        <v>0.28769464285714286</v>
      </c>
      <c r="AE7">
        <f t="shared" si="2"/>
        <v>0.34329629629629627</v>
      </c>
      <c r="AF7">
        <f t="shared" si="2"/>
        <v>0.23284444444444446</v>
      </c>
    </row>
    <row r="8" spans="1:32" x14ac:dyDescent="0.35">
      <c r="A8">
        <v>2060</v>
      </c>
      <c r="B8">
        <f>B7/195*150</f>
        <v>0.18370370370370367</v>
      </c>
      <c r="C8">
        <f t="shared" ref="C8:AE8" si="3">C7/195*150</f>
        <v>0.10414285714285713</v>
      </c>
      <c r="D8">
        <f t="shared" si="3"/>
        <v>0.22185185185185186</v>
      </c>
      <c r="E8">
        <f t="shared" si="3"/>
        <v>0.13933928571428572</v>
      </c>
      <c r="F8">
        <f t="shared" si="3"/>
        <v>0.19851851851851851</v>
      </c>
      <c r="G8">
        <f t="shared" si="3"/>
        <v>0.25296296296296295</v>
      </c>
      <c r="H8">
        <f t="shared" si="3"/>
        <v>0.25925925925925924</v>
      </c>
      <c r="I8">
        <f t="shared" si="3"/>
        <v>0.29333333333333333</v>
      </c>
      <c r="J8">
        <f t="shared" si="3"/>
        <v>0.18444444444444444</v>
      </c>
      <c r="K8">
        <f t="shared" si="3"/>
        <v>0.12037037037037038</v>
      </c>
      <c r="L8">
        <f t="shared" si="3"/>
        <v>0.18962962962962962</v>
      </c>
      <c r="M8">
        <f t="shared" si="3"/>
        <v>0.14296296296296296</v>
      </c>
      <c r="N8">
        <f t="shared" si="3"/>
        <v>0.25703703703703701</v>
      </c>
      <c r="O8">
        <f t="shared" si="3"/>
        <v>0.12222222222222225</v>
      </c>
      <c r="P8">
        <f t="shared" si="3"/>
        <v>0.16148148148148148</v>
      </c>
      <c r="Q8">
        <f t="shared" si="3"/>
        <v>0.18148148148148147</v>
      </c>
      <c r="R8">
        <f t="shared" si="3"/>
        <v>9.4074074074074074E-2</v>
      </c>
      <c r="S8">
        <f t="shared" si="3"/>
        <v>0.15148148148148147</v>
      </c>
      <c r="T8">
        <f t="shared" si="3"/>
        <v>9.481481481481481E-2</v>
      </c>
      <c r="U8">
        <f t="shared" si="3"/>
        <v>1.9285714285714288E-2</v>
      </c>
      <c r="V8">
        <f t="shared" si="3"/>
        <v>0.12296296296296297</v>
      </c>
      <c r="W8">
        <f t="shared" si="3"/>
        <v>0.1237037037037037</v>
      </c>
      <c r="X8">
        <f t="shared" si="3"/>
        <v>5.5446428571428577E-2</v>
      </c>
      <c r="Y8">
        <f t="shared" si="3"/>
        <v>0.10222222222222224</v>
      </c>
      <c r="Z8">
        <f t="shared" si="3"/>
        <v>1.2053571428571431E-2</v>
      </c>
      <c r="AA8">
        <f t="shared" si="3"/>
        <v>0.22259259259259256</v>
      </c>
      <c r="AB8">
        <f t="shared" si="3"/>
        <v>0.13451785714285716</v>
      </c>
      <c r="AC8">
        <f t="shared" si="3"/>
        <v>4.821428571428572E-3</v>
      </c>
      <c r="AD8">
        <f t="shared" si="3"/>
        <v>0.22130357142857143</v>
      </c>
      <c r="AE8">
        <f t="shared" si="3"/>
        <v>0.26407407407407407</v>
      </c>
      <c r="AF8">
        <f>AF7/195*150</f>
        <v>0.17911111111111114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A2B40-59E1-41D4-B33E-DD6F65A80DC9}">
  <dimension ref="A1:AF8"/>
  <sheetViews>
    <sheetView workbookViewId="0">
      <selection activeCell="B6" sqref="B6:AF6"/>
    </sheetView>
  </sheetViews>
  <sheetFormatPr defaultRowHeight="14.15" x14ac:dyDescent="0.35"/>
  <sheetData>
    <row r="1" spans="1:32" ht="14.6" x14ac:dyDescent="0.35">
      <c r="B1" s="1" t="s">
        <v>4</v>
      </c>
      <c r="C1" s="1" t="s">
        <v>5</v>
      </c>
      <c r="D1" s="1" t="s">
        <v>6</v>
      </c>
      <c r="E1" s="1" t="s">
        <v>0</v>
      </c>
      <c r="F1" s="1" t="s">
        <v>1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2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3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28</v>
      </c>
      <c r="AC1" s="1" t="s">
        <v>27</v>
      </c>
      <c r="AD1" s="1" t="s">
        <v>26</v>
      </c>
      <c r="AE1" s="1" t="s">
        <v>29</v>
      </c>
      <c r="AF1" s="1" t="s">
        <v>30</v>
      </c>
    </row>
    <row r="2" spans="1:32" x14ac:dyDescent="0.35">
      <c r="A2">
        <v>2020</v>
      </c>
      <c r="B2">
        <v>0.91</v>
      </c>
      <c r="C2">
        <v>0.83899999999999997</v>
      </c>
      <c r="D2">
        <v>0.81399999999999995</v>
      </c>
      <c r="E2">
        <v>0.61499999999999999</v>
      </c>
      <c r="F2">
        <v>0.84099999999999997</v>
      </c>
      <c r="G2">
        <v>1.0920000000000001</v>
      </c>
      <c r="H2">
        <v>0.84099999999999997</v>
      </c>
      <c r="I2">
        <v>1</v>
      </c>
      <c r="J2">
        <v>0.74199999999999999</v>
      </c>
      <c r="K2">
        <v>0.54800000000000004</v>
      </c>
      <c r="L2">
        <v>0.69499999999999995</v>
      </c>
      <c r="M2">
        <v>0.53200000000000003</v>
      </c>
      <c r="N2">
        <v>0.76300000000000001</v>
      </c>
      <c r="O2">
        <v>0.48899999999999999</v>
      </c>
      <c r="P2">
        <v>0.61599999999999999</v>
      </c>
      <c r="Q2">
        <v>0.73799999999999999</v>
      </c>
      <c r="R2">
        <v>0.316</v>
      </c>
      <c r="S2">
        <v>0.48699999999999999</v>
      </c>
      <c r="T2">
        <v>0.432</v>
      </c>
      <c r="U2">
        <v>0.11700000000000001</v>
      </c>
      <c r="V2">
        <v>0.44500000000000001</v>
      </c>
      <c r="W2">
        <v>0.52600000000000002</v>
      </c>
      <c r="X2">
        <v>0.45900000000000002</v>
      </c>
      <c r="Y2">
        <v>0.42</v>
      </c>
      <c r="Z2">
        <v>0.14599999999999999</v>
      </c>
      <c r="AA2">
        <v>0.64100000000000001</v>
      </c>
      <c r="AB2">
        <v>0.46</v>
      </c>
      <c r="AC2">
        <v>9.5000000000000001E-2</v>
      </c>
      <c r="AD2">
        <v>0.872</v>
      </c>
      <c r="AE2">
        <v>0.749</v>
      </c>
      <c r="AF2">
        <f>AVERAGE(AA2:AE2)</f>
        <v>0.56340000000000001</v>
      </c>
    </row>
    <row r="3" spans="1:32" x14ac:dyDescent="0.35">
      <c r="A3">
        <v>2025</v>
      </c>
      <c r="B3">
        <v>0.66400000000000003</v>
      </c>
      <c r="C3">
        <v>0.59399999999999997</v>
      </c>
      <c r="D3">
        <v>0.68300000000000005</v>
      </c>
      <c r="E3">
        <v>0.61199999999999999</v>
      </c>
      <c r="F3">
        <v>0.70899999999999996</v>
      </c>
      <c r="G3">
        <v>0.78400000000000003</v>
      </c>
      <c r="H3">
        <v>0.73799999999999999</v>
      </c>
      <c r="I3">
        <v>0.83599999999999997</v>
      </c>
      <c r="J3">
        <v>0.56000000000000005</v>
      </c>
      <c r="K3">
        <v>0.46400000000000002</v>
      </c>
      <c r="L3">
        <v>0.63900000000000001</v>
      </c>
      <c r="M3">
        <v>0.42699999999999999</v>
      </c>
      <c r="N3">
        <v>0.75800000000000001</v>
      </c>
      <c r="O3">
        <v>0.379</v>
      </c>
      <c r="P3">
        <v>0.498</v>
      </c>
      <c r="Q3">
        <v>0.621</v>
      </c>
      <c r="R3">
        <v>0.317</v>
      </c>
      <c r="S3">
        <v>0.46</v>
      </c>
      <c r="T3">
        <v>0.39600000000000002</v>
      </c>
      <c r="U3">
        <v>0.107</v>
      </c>
      <c r="V3">
        <v>0.38200000000000001</v>
      </c>
      <c r="W3">
        <v>0.36299999999999999</v>
      </c>
      <c r="X3">
        <v>0.33200000000000002</v>
      </c>
      <c r="Y3">
        <v>0.40799999999999997</v>
      </c>
      <c r="Z3">
        <v>0.10199999999999999</v>
      </c>
      <c r="AA3">
        <v>0.623</v>
      </c>
      <c r="AB3">
        <v>0.46899999999999997</v>
      </c>
      <c r="AC3">
        <v>7.8E-2</v>
      </c>
      <c r="AD3">
        <v>0.75800000000000001</v>
      </c>
      <c r="AE3">
        <v>0.745</v>
      </c>
      <c r="AF3">
        <f t="shared" ref="AF3:AF4" si="0">AVERAGE(AA3:AE3)</f>
        <v>0.53459999999999996</v>
      </c>
    </row>
    <row r="4" spans="1:32" x14ac:dyDescent="0.35">
      <c r="A4">
        <v>2030</v>
      </c>
      <c r="B4">
        <v>0.57099999999999995</v>
      </c>
      <c r="C4">
        <v>0.47199999999999998</v>
      </c>
      <c r="D4">
        <v>0.621</v>
      </c>
      <c r="E4">
        <v>0.53200000000000003</v>
      </c>
      <c r="F4">
        <v>0.58399999999999996</v>
      </c>
      <c r="G4">
        <v>0.73299999999999998</v>
      </c>
      <c r="H4">
        <v>0.73799999999999999</v>
      </c>
      <c r="I4">
        <v>0.83599999999999997</v>
      </c>
      <c r="J4">
        <v>0.50600000000000001</v>
      </c>
      <c r="K4">
        <v>0.432</v>
      </c>
      <c r="L4">
        <v>0.53900000000000003</v>
      </c>
      <c r="M4">
        <v>0.40200000000000002</v>
      </c>
      <c r="N4">
        <v>0.75700000000000001</v>
      </c>
      <c r="O4">
        <v>0.35799999999999998</v>
      </c>
      <c r="P4">
        <v>0.44400000000000001</v>
      </c>
      <c r="Q4">
        <v>0.51200000000000001</v>
      </c>
      <c r="R4">
        <v>0.316</v>
      </c>
      <c r="S4">
        <v>0.42199999999999999</v>
      </c>
      <c r="T4">
        <v>0.30399999999999999</v>
      </c>
      <c r="U4">
        <v>7.4999999999999997E-2</v>
      </c>
      <c r="V4">
        <v>0.35099999999999998</v>
      </c>
      <c r="W4">
        <v>0.373</v>
      </c>
      <c r="X4">
        <v>0.23599999999999999</v>
      </c>
      <c r="Y4">
        <v>0.27800000000000002</v>
      </c>
      <c r="Z4">
        <v>7.4999999999999997E-2</v>
      </c>
      <c r="AA4">
        <v>0.61899999999999999</v>
      </c>
      <c r="AB4">
        <v>0.439</v>
      </c>
      <c r="AC4">
        <v>4.1000000000000002E-2</v>
      </c>
      <c r="AD4">
        <v>0.71399999999999997</v>
      </c>
      <c r="AE4">
        <v>0.745</v>
      </c>
      <c r="AF4">
        <f t="shared" si="0"/>
        <v>0.51159999999999994</v>
      </c>
    </row>
    <row r="5" spans="1:32" x14ac:dyDescent="0.35">
      <c r="A5">
        <v>2035</v>
      </c>
      <c r="B5">
        <v>0.40799999999999997</v>
      </c>
      <c r="C5">
        <v>0.28100000000000003</v>
      </c>
      <c r="D5">
        <v>0.52800000000000002</v>
      </c>
      <c r="E5">
        <v>0.29899999999999999</v>
      </c>
      <c r="F5">
        <v>0.44800000000000001</v>
      </c>
      <c r="G5">
        <v>0.57099999999999995</v>
      </c>
      <c r="H5">
        <v>0.63300000000000001</v>
      </c>
      <c r="I5">
        <v>0.71399999999999997</v>
      </c>
      <c r="J5">
        <v>0.38600000000000001</v>
      </c>
      <c r="K5">
        <v>0.34899999999999998</v>
      </c>
      <c r="L5">
        <v>0.435</v>
      </c>
      <c r="M5">
        <v>0.314</v>
      </c>
      <c r="N5">
        <v>0.64400000000000002</v>
      </c>
      <c r="O5">
        <v>0.29299999999999998</v>
      </c>
      <c r="P5">
        <v>0.35899999999999999</v>
      </c>
      <c r="Q5">
        <v>0.40899999999999997</v>
      </c>
      <c r="R5">
        <v>0.26100000000000001</v>
      </c>
      <c r="S5">
        <v>0.33100000000000002</v>
      </c>
      <c r="T5">
        <v>0.22600000000000001</v>
      </c>
      <c r="U5">
        <v>0.04</v>
      </c>
      <c r="V5">
        <v>0.29499999999999998</v>
      </c>
      <c r="W5">
        <v>0.308</v>
      </c>
      <c r="X5">
        <v>0.14299999999999999</v>
      </c>
      <c r="Y5">
        <v>0.20599999999999999</v>
      </c>
      <c r="Z5">
        <v>0.03</v>
      </c>
      <c r="AA5">
        <v>0.53</v>
      </c>
      <c r="AB5">
        <v>0.28499999999999998</v>
      </c>
      <c r="AC5">
        <v>1.2999999999999999E-2</v>
      </c>
      <c r="AD5">
        <v>0.55100000000000005</v>
      </c>
      <c r="AE5">
        <v>0.59899999999999998</v>
      </c>
      <c r="AF5">
        <f>AVERAGE(AA5:AE5)</f>
        <v>0.39560000000000001</v>
      </c>
    </row>
    <row r="6" spans="1:32" x14ac:dyDescent="0.35">
      <c r="A6">
        <v>2040</v>
      </c>
      <c r="B6">
        <f>IF(B4/405*280&lt;B5,B4/405*280,B5*0.9)</f>
        <v>0.39476543209876541</v>
      </c>
      <c r="C6">
        <f t="shared" ref="C6:AF6" si="1">IF(C4/405*280&lt;C5,C4/405*280,C5*0.9)</f>
        <v>0.25290000000000001</v>
      </c>
      <c r="D6">
        <f t="shared" si="1"/>
        <v>0.42933333333333334</v>
      </c>
      <c r="E6">
        <f t="shared" si="1"/>
        <v>0.26910000000000001</v>
      </c>
      <c r="F6">
        <f t="shared" si="1"/>
        <v>0.40375308641975305</v>
      </c>
      <c r="G6">
        <f t="shared" si="1"/>
        <v>0.50676543209876546</v>
      </c>
      <c r="H6">
        <f t="shared" si="1"/>
        <v>0.51022222222222224</v>
      </c>
      <c r="I6">
        <f t="shared" si="1"/>
        <v>0.57797530864197533</v>
      </c>
      <c r="J6">
        <f t="shared" si="1"/>
        <v>0.34982716049382717</v>
      </c>
      <c r="K6">
        <f t="shared" si="1"/>
        <v>0.29866666666666669</v>
      </c>
      <c r="L6">
        <f t="shared" si="1"/>
        <v>0.37264197530864196</v>
      </c>
      <c r="M6">
        <f t="shared" si="1"/>
        <v>0.27792592592592597</v>
      </c>
      <c r="N6">
        <f t="shared" si="1"/>
        <v>0.52335802469135806</v>
      </c>
      <c r="O6">
        <f t="shared" si="1"/>
        <v>0.24750617283950618</v>
      </c>
      <c r="P6">
        <f t="shared" si="1"/>
        <v>0.30696296296296299</v>
      </c>
      <c r="Q6">
        <f t="shared" si="1"/>
        <v>0.35397530864197529</v>
      </c>
      <c r="R6">
        <f t="shared" si="1"/>
        <v>0.21846913580246913</v>
      </c>
      <c r="S6">
        <f t="shared" si="1"/>
        <v>0.29175308641975312</v>
      </c>
      <c r="T6">
        <f t="shared" si="1"/>
        <v>0.21017283950617283</v>
      </c>
      <c r="U6">
        <f t="shared" si="1"/>
        <v>3.6000000000000004E-2</v>
      </c>
      <c r="V6">
        <f t="shared" si="1"/>
        <v>0.24266666666666664</v>
      </c>
      <c r="W6">
        <f t="shared" si="1"/>
        <v>0.25787654320987652</v>
      </c>
      <c r="X6">
        <f t="shared" si="1"/>
        <v>0.12869999999999998</v>
      </c>
      <c r="Y6">
        <f t="shared" si="1"/>
        <v>0.19219753086419755</v>
      </c>
      <c r="Z6">
        <f t="shared" si="1"/>
        <v>2.7E-2</v>
      </c>
      <c r="AA6">
        <f t="shared" si="1"/>
        <v>0.42795061728395062</v>
      </c>
      <c r="AB6">
        <f t="shared" si="1"/>
        <v>0.25650000000000001</v>
      </c>
      <c r="AC6">
        <f t="shared" si="1"/>
        <v>1.17E-2</v>
      </c>
      <c r="AD6">
        <f t="shared" si="1"/>
        <v>0.49362962962962964</v>
      </c>
      <c r="AE6">
        <f t="shared" si="1"/>
        <v>0.5150617283950617</v>
      </c>
      <c r="AF6">
        <f t="shared" si="1"/>
        <v>0.35369876543209872</v>
      </c>
    </row>
    <row r="7" spans="1:32" x14ac:dyDescent="0.35">
      <c r="A7">
        <v>2050</v>
      </c>
      <c r="B7">
        <f>B6/280*195</f>
        <v>0.27492592592592591</v>
      </c>
      <c r="C7">
        <f t="shared" ref="C7:AF7" si="2">C6/280*195</f>
        <v>0.17612678571428572</v>
      </c>
      <c r="D7">
        <f>D6/280*195</f>
        <v>0.29899999999999999</v>
      </c>
      <c r="E7">
        <f t="shared" si="2"/>
        <v>0.18740892857142857</v>
      </c>
      <c r="F7">
        <f t="shared" si="2"/>
        <v>0.28118518518518515</v>
      </c>
      <c r="G7">
        <f t="shared" si="2"/>
        <v>0.35292592592592592</v>
      </c>
      <c r="H7">
        <f t="shared" si="2"/>
        <v>0.35533333333333333</v>
      </c>
      <c r="I7">
        <f t="shared" si="2"/>
        <v>0.4025185185185185</v>
      </c>
      <c r="J7">
        <f t="shared" si="2"/>
        <v>0.24362962962962964</v>
      </c>
      <c r="K7">
        <f t="shared" si="2"/>
        <v>0.20800000000000002</v>
      </c>
      <c r="L7">
        <f t="shared" si="2"/>
        <v>0.25951851851851854</v>
      </c>
      <c r="M7">
        <f t="shared" si="2"/>
        <v>0.19355555555555556</v>
      </c>
      <c r="N7">
        <f t="shared" si="2"/>
        <v>0.36448148148148152</v>
      </c>
      <c r="O7">
        <f t="shared" si="2"/>
        <v>0.17237037037037037</v>
      </c>
      <c r="P7">
        <f t="shared" si="2"/>
        <v>0.21377777777777779</v>
      </c>
      <c r="Q7">
        <f t="shared" si="2"/>
        <v>0.24651851851851853</v>
      </c>
      <c r="R7">
        <f t="shared" si="2"/>
        <v>0.15214814814814814</v>
      </c>
      <c r="S7">
        <f t="shared" si="2"/>
        <v>0.20318518518518519</v>
      </c>
      <c r="T7">
        <f t="shared" si="2"/>
        <v>0.14637037037037035</v>
      </c>
      <c r="U7">
        <f t="shared" si="2"/>
        <v>2.5071428571428571E-2</v>
      </c>
      <c r="V7">
        <f t="shared" si="2"/>
        <v>0.16899999999999998</v>
      </c>
      <c r="W7">
        <f t="shared" si="2"/>
        <v>0.17959259259259258</v>
      </c>
      <c r="X7">
        <f t="shared" si="2"/>
        <v>8.9630357142857137E-2</v>
      </c>
      <c r="Y7">
        <f t="shared" si="2"/>
        <v>0.13385185185185186</v>
      </c>
      <c r="Z7">
        <f t="shared" si="2"/>
        <v>1.880357142857143E-2</v>
      </c>
      <c r="AA7">
        <f t="shared" si="2"/>
        <v>0.29803703703703704</v>
      </c>
      <c r="AB7">
        <f t="shared" si="2"/>
        <v>0.1786339285714286</v>
      </c>
      <c r="AC7">
        <f t="shared" si="2"/>
        <v>8.1482142857142864E-3</v>
      </c>
      <c r="AD7">
        <f t="shared" si="2"/>
        <v>0.34377777777777779</v>
      </c>
      <c r="AE7">
        <f t="shared" si="2"/>
        <v>0.35870370370370369</v>
      </c>
      <c r="AF7">
        <f t="shared" si="2"/>
        <v>0.24632592592592589</v>
      </c>
    </row>
    <row r="8" spans="1:32" x14ac:dyDescent="0.35">
      <c r="A8">
        <v>2060</v>
      </c>
      <c r="B8">
        <f>B7/195*150</f>
        <v>0.21148148148148146</v>
      </c>
      <c r="C8">
        <f t="shared" ref="C8:AE8" si="3">C7/195*150</f>
        <v>0.13548214285714286</v>
      </c>
      <c r="D8">
        <f t="shared" si="3"/>
        <v>0.23</v>
      </c>
      <c r="E8">
        <f t="shared" si="3"/>
        <v>0.14416071428571428</v>
      </c>
      <c r="F8">
        <f t="shared" si="3"/>
        <v>0.21629629629629626</v>
      </c>
      <c r="G8">
        <f t="shared" si="3"/>
        <v>0.27148148148148149</v>
      </c>
      <c r="H8">
        <f t="shared" si="3"/>
        <v>0.27333333333333332</v>
      </c>
      <c r="I8">
        <f t="shared" si="3"/>
        <v>0.30962962962962964</v>
      </c>
      <c r="J8">
        <f t="shared" si="3"/>
        <v>0.18740740740740741</v>
      </c>
      <c r="K8">
        <f t="shared" si="3"/>
        <v>0.16</v>
      </c>
      <c r="L8">
        <f t="shared" si="3"/>
        <v>0.19962962962962963</v>
      </c>
      <c r="M8">
        <f t="shared" si="3"/>
        <v>0.1488888888888889</v>
      </c>
      <c r="N8">
        <f t="shared" si="3"/>
        <v>0.28037037037037038</v>
      </c>
      <c r="O8">
        <f t="shared" si="3"/>
        <v>0.1325925925925926</v>
      </c>
      <c r="P8">
        <f t="shared" si="3"/>
        <v>0.16444444444444445</v>
      </c>
      <c r="Q8">
        <f t="shared" si="3"/>
        <v>0.18962962962962962</v>
      </c>
      <c r="R8">
        <f t="shared" si="3"/>
        <v>0.11703703703703704</v>
      </c>
      <c r="S8">
        <f t="shared" si="3"/>
        <v>0.15629629629629629</v>
      </c>
      <c r="T8">
        <f t="shared" si="3"/>
        <v>0.11259259259259256</v>
      </c>
      <c r="U8">
        <f t="shared" si="3"/>
        <v>1.9285714285714288E-2</v>
      </c>
      <c r="V8">
        <f t="shared" si="3"/>
        <v>0.13</v>
      </c>
      <c r="W8">
        <f t="shared" si="3"/>
        <v>0.13814814814814816</v>
      </c>
      <c r="X8">
        <f t="shared" si="3"/>
        <v>6.8946428571428561E-2</v>
      </c>
      <c r="Y8">
        <f t="shared" si="3"/>
        <v>0.10296296296296296</v>
      </c>
      <c r="Z8">
        <f t="shared" si="3"/>
        <v>1.4464285714285714E-2</v>
      </c>
      <c r="AA8">
        <f t="shared" si="3"/>
        <v>0.22925925925925927</v>
      </c>
      <c r="AB8">
        <f t="shared" si="3"/>
        <v>0.1374107142857143</v>
      </c>
      <c r="AC8">
        <f t="shared" si="3"/>
        <v>6.2678571428571436E-3</v>
      </c>
      <c r="AD8">
        <f t="shared" si="3"/>
        <v>0.26444444444444448</v>
      </c>
      <c r="AE8">
        <f t="shared" si="3"/>
        <v>0.27592592592592591</v>
      </c>
      <c r="AF8">
        <f>AF7/195*150</f>
        <v>0.18948148148148145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ssp126</vt:lpstr>
      <vt:lpstr>ssp245</vt:lpstr>
      <vt:lpstr>ssp585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Alan</dc:creator>
  <cp:lastModifiedBy>Zhang Alan</cp:lastModifiedBy>
  <dcterms:created xsi:type="dcterms:W3CDTF">2015-06-05T18:19:34Z</dcterms:created>
  <dcterms:modified xsi:type="dcterms:W3CDTF">2025-04-07T02:57:54Z</dcterms:modified>
</cp:coreProperties>
</file>